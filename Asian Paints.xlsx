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 Files\Three_Statement_Model_Asian_Paints\"/>
    </mc:Choice>
  </mc:AlternateContent>
  <xr:revisionPtr revIDLastSave="0" documentId="13_ncr:1_{2DC7ABF9-231D-4767-8FCD-5B0C25B0C134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  <sheet name="Assumption_A.p." sheetId="7" r:id="rId7"/>
    <sheet name="Three_ Statement_Models (2)" sheetId="9" r:id="rId8"/>
    <sheet name="Three_ Statement_Models" sheetId="8" r:id="rId9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1" i="9" l="1"/>
  <c r="C35" i="9"/>
  <c r="D33" i="9"/>
  <c r="D32" i="9"/>
  <c r="O27" i="9"/>
  <c r="C27" i="9"/>
  <c r="D25" i="9"/>
  <c r="D22" i="9"/>
  <c r="O19" i="9"/>
  <c r="D5" i="9"/>
  <c r="E51" i="8"/>
  <c r="F51" i="8"/>
  <c r="G51" i="8"/>
  <c r="D51" i="8"/>
  <c r="O30" i="8"/>
  <c r="O28" i="8"/>
  <c r="O29" i="8"/>
  <c r="P34" i="8"/>
  <c r="Q34" i="8"/>
  <c r="R34" i="8"/>
  <c r="O34" i="8"/>
  <c r="C35" i="8"/>
  <c r="C27" i="8"/>
  <c r="C38" i="8" s="1"/>
  <c r="D61" i="8"/>
  <c r="O40" i="7"/>
  <c r="M40" i="7"/>
  <c r="N40" i="7"/>
  <c r="L40" i="7"/>
  <c r="M38" i="7"/>
  <c r="N38" i="7"/>
  <c r="L38" i="7"/>
  <c r="M36" i="7"/>
  <c r="N36" i="7"/>
  <c r="L36" i="7"/>
  <c r="M37" i="7"/>
  <c r="N37" i="7"/>
  <c r="L37" i="7"/>
  <c r="L35" i="7"/>
  <c r="M35" i="7"/>
  <c r="N35" i="7"/>
  <c r="K35" i="7"/>
  <c r="O27" i="8"/>
  <c r="O19" i="8"/>
  <c r="D33" i="8"/>
  <c r="D32" i="8"/>
  <c r="D25" i="8"/>
  <c r="D22" i="8"/>
  <c r="D5" i="8"/>
  <c r="O21" i="7"/>
  <c r="O19" i="7"/>
  <c r="O22" i="7"/>
  <c r="O28" i="7"/>
  <c r="O29" i="7"/>
  <c r="O30" i="7"/>
  <c r="L30" i="7"/>
  <c r="M30" i="7"/>
  <c r="N30" i="7"/>
  <c r="K30" i="7"/>
  <c r="M29" i="7"/>
  <c r="N29" i="7"/>
  <c r="L29" i="7"/>
  <c r="M28" i="7"/>
  <c r="N28" i="7"/>
  <c r="L28" i="7"/>
  <c r="L22" i="7"/>
  <c r="M22" i="7"/>
  <c r="N22" i="7"/>
  <c r="K22" i="7"/>
  <c r="M21" i="7"/>
  <c r="N21" i="7"/>
  <c r="L21" i="7"/>
  <c r="L19" i="7"/>
  <c r="M19" i="7"/>
  <c r="N19" i="7"/>
  <c r="K19" i="7"/>
  <c r="O6" i="7"/>
  <c r="O9" i="7"/>
  <c r="O12" i="7"/>
  <c r="O5" i="7"/>
  <c r="L12" i="7"/>
  <c r="M12" i="7"/>
  <c r="N12" i="7"/>
  <c r="K12" i="7"/>
  <c r="L9" i="7"/>
  <c r="M9" i="7"/>
  <c r="N9" i="7"/>
  <c r="K9" i="7"/>
  <c r="L6" i="7"/>
  <c r="M6" i="7"/>
  <c r="N6" i="7"/>
  <c r="K6" i="7"/>
  <c r="D43" i="7"/>
  <c r="E43" i="7"/>
  <c r="F43" i="7"/>
  <c r="C43" i="7"/>
  <c r="D31" i="7"/>
  <c r="D34" i="7" s="1"/>
  <c r="E31" i="7"/>
  <c r="E34" i="7" s="1"/>
  <c r="F31" i="7"/>
  <c r="F34" i="7" s="1"/>
  <c r="C31" i="7"/>
  <c r="C34" i="7" s="1"/>
  <c r="D23" i="7"/>
  <c r="E23" i="7"/>
  <c r="F23" i="7"/>
  <c r="C23" i="7"/>
  <c r="M5" i="7"/>
  <c r="N5" i="7"/>
  <c r="L5" i="7"/>
  <c r="C6" i="3"/>
  <c r="D6" i="3"/>
  <c r="E6" i="3"/>
  <c r="F6" i="3"/>
  <c r="G6" i="3"/>
  <c r="H6" i="3"/>
  <c r="I6" i="3"/>
  <c r="J6" i="3"/>
  <c r="K6" i="3"/>
  <c r="B6" i="3"/>
  <c r="C5" i="1"/>
  <c r="C6" i="1" s="1"/>
  <c r="C19" i="1" s="1"/>
  <c r="D5" i="1"/>
  <c r="D6" i="1" s="1"/>
  <c r="D19" i="1" s="1"/>
  <c r="E5" i="1"/>
  <c r="E6" i="1" s="1"/>
  <c r="E19" i="1" s="1"/>
  <c r="F5" i="1"/>
  <c r="G5" i="1"/>
  <c r="G6" i="1" s="1"/>
  <c r="G19" i="1" s="1"/>
  <c r="H5" i="1"/>
  <c r="I5" i="1"/>
  <c r="J5" i="1"/>
  <c r="K5" i="1"/>
  <c r="B5" i="1"/>
  <c r="B13" i="1"/>
  <c r="B6" i="6"/>
  <c r="C17" i="2"/>
  <c r="C20" i="2" s="1"/>
  <c r="D17" i="2"/>
  <c r="D20" i="2" s="1"/>
  <c r="E17" i="2"/>
  <c r="E20" i="2" s="1"/>
  <c r="F17" i="2"/>
  <c r="G17" i="2"/>
  <c r="G20" i="2" s="1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C23" i="2" s="1"/>
  <c r="D4" i="2"/>
  <c r="D23" i="2" s="1"/>
  <c r="E4" i="2"/>
  <c r="E5" i="2"/>
  <c r="E23" i="2"/>
  <c r="F4" i="2"/>
  <c r="F23" i="2" s="1"/>
  <c r="G4" i="2"/>
  <c r="G23" i="2" s="1"/>
  <c r="H4" i="2"/>
  <c r="H23" i="2" s="1"/>
  <c r="I4" i="2"/>
  <c r="I5" i="2"/>
  <c r="I23" i="2"/>
  <c r="J4" i="2"/>
  <c r="J5" i="2"/>
  <c r="J23" i="2" s="1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F16" i="2" s="1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F13" i="2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13" i="1" s="1"/>
  <c r="G14" i="1" s="1"/>
  <c r="H12" i="1"/>
  <c r="H13" i="1" s="1"/>
  <c r="I12" i="1"/>
  <c r="I13" i="1" s="1"/>
  <c r="J12" i="1"/>
  <c r="J13" i="1" s="1"/>
  <c r="K12" i="1"/>
  <c r="K13" i="1" s="1"/>
  <c r="K14" i="1" s="1"/>
  <c r="C15" i="1"/>
  <c r="D15" i="1"/>
  <c r="E15" i="1"/>
  <c r="F15" i="1"/>
  <c r="G15" i="1"/>
  <c r="H15" i="1"/>
  <c r="I15" i="1"/>
  <c r="J15" i="1"/>
  <c r="J14" i="1" s="1"/>
  <c r="K15" i="1"/>
  <c r="B15" i="1"/>
  <c r="B7" i="1"/>
  <c r="B4" i="1"/>
  <c r="B21" i="2" s="1"/>
  <c r="A1" i="1"/>
  <c r="E1" i="6"/>
  <c r="H1" i="1" s="1"/>
  <c r="E1" i="2"/>
  <c r="E1" i="3"/>
  <c r="K16" i="2"/>
  <c r="B23" i="2"/>
  <c r="I6" i="1"/>
  <c r="I19" i="1" s="1"/>
  <c r="J6" i="1"/>
  <c r="J19" i="1"/>
  <c r="K6" i="1"/>
  <c r="K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L12" i="1"/>
  <c r="L11" i="1"/>
  <c r="L10" i="1"/>
  <c r="N11" i="1" s="1"/>
  <c r="L6" i="1"/>
  <c r="L19" i="1" s="1"/>
  <c r="L24" i="1" s="1"/>
  <c r="L4" i="1"/>
  <c r="A1" i="3"/>
  <c r="A1" i="2"/>
  <c r="A1" i="4"/>
  <c r="H23" i="1"/>
  <c r="I23" i="1"/>
  <c r="J23" i="1"/>
  <c r="L5" i="1"/>
  <c r="M11" i="1"/>
  <c r="C38" i="9" l="1"/>
  <c r="D56" i="9"/>
  <c r="D52" i="9"/>
  <c r="D34" i="9"/>
  <c r="E32" i="9"/>
  <c r="E53" i="9"/>
  <c r="D53" i="9"/>
  <c r="E33" i="9"/>
  <c r="O28" i="9"/>
  <c r="D26" i="9"/>
  <c r="D48" i="9" s="1"/>
  <c r="E25" i="9"/>
  <c r="E22" i="9"/>
  <c r="D9" i="9"/>
  <c r="D7" i="9"/>
  <c r="D11" i="9" s="1"/>
  <c r="D6" i="9"/>
  <c r="E5" i="9"/>
  <c r="D52" i="8"/>
  <c r="E33" i="8"/>
  <c r="E52" i="8" s="1"/>
  <c r="E32" i="8"/>
  <c r="E53" i="8" s="1"/>
  <c r="D53" i="8"/>
  <c r="D56" i="8"/>
  <c r="E25" i="8"/>
  <c r="E22" i="8"/>
  <c r="D34" i="8"/>
  <c r="D26" i="8"/>
  <c r="D48" i="8" s="1"/>
  <c r="D6" i="8"/>
  <c r="D9" i="8"/>
  <c r="E5" i="8"/>
  <c r="D7" i="8"/>
  <c r="D11" i="8" s="1"/>
  <c r="I16" i="2"/>
  <c r="E16" i="2"/>
  <c r="C24" i="2"/>
  <c r="L8" i="1"/>
  <c r="L9" i="1"/>
  <c r="H14" i="1"/>
  <c r="I14" i="1"/>
  <c r="K25" i="1" s="1"/>
  <c r="M25" i="1" s="1"/>
  <c r="M14" i="1" s="1"/>
  <c r="F20" i="2"/>
  <c r="K24" i="1"/>
  <c r="B14" i="1"/>
  <c r="B20" i="2"/>
  <c r="B16" i="2"/>
  <c r="D13" i="1"/>
  <c r="D24" i="2"/>
  <c r="E24" i="2"/>
  <c r="F24" i="2"/>
  <c r="G24" i="2"/>
  <c r="H24" i="2"/>
  <c r="I24" i="2"/>
  <c r="J24" i="2"/>
  <c r="K24" i="2"/>
  <c r="L13" i="1"/>
  <c r="L14" i="1" s="1"/>
  <c r="L25" i="1" s="1"/>
  <c r="L23" i="1"/>
  <c r="N23" i="1" s="1"/>
  <c r="N4" i="1" s="1"/>
  <c r="J20" i="2"/>
  <c r="J25" i="1"/>
  <c r="M24" i="1"/>
  <c r="M9" i="1"/>
  <c r="N9" i="1"/>
  <c r="N8" i="1"/>
  <c r="M8" i="1"/>
  <c r="I20" i="2"/>
  <c r="H20" i="2"/>
  <c r="K23" i="1"/>
  <c r="M23" i="1" s="1"/>
  <c r="M4" i="1" s="1"/>
  <c r="H6" i="1"/>
  <c r="H19" i="1" s="1"/>
  <c r="J24" i="1" s="1"/>
  <c r="F6" i="1"/>
  <c r="F19" i="1" s="1"/>
  <c r="E1" i="4"/>
  <c r="D47" i="9" l="1"/>
  <c r="E47" i="9"/>
  <c r="F32" i="9"/>
  <c r="F53" i="9"/>
  <c r="F33" i="9"/>
  <c r="I51" i="9"/>
  <c r="F25" i="9"/>
  <c r="E56" i="9"/>
  <c r="F22" i="9"/>
  <c r="O29" i="9"/>
  <c r="D51" i="9" s="1"/>
  <c r="D54" i="9" s="1"/>
  <c r="J46" i="9"/>
  <c r="D12" i="9"/>
  <c r="D13" i="9"/>
  <c r="F5" i="9"/>
  <c r="E6" i="9"/>
  <c r="E7" i="9"/>
  <c r="E11" i="9" s="1"/>
  <c r="E9" i="9"/>
  <c r="E26" i="9"/>
  <c r="E48" i="9" s="1"/>
  <c r="E34" i="9"/>
  <c r="P28" i="9"/>
  <c r="E52" i="9"/>
  <c r="F33" i="8"/>
  <c r="F52" i="8" s="1"/>
  <c r="F32" i="8"/>
  <c r="F53" i="8" s="1"/>
  <c r="E56" i="8"/>
  <c r="F25" i="8"/>
  <c r="F22" i="8"/>
  <c r="D47" i="8"/>
  <c r="J46" i="8"/>
  <c r="E6" i="8"/>
  <c r="E7" i="8" s="1"/>
  <c r="E11" i="8" s="1"/>
  <c r="E26" i="8"/>
  <c r="E48" i="8" s="1"/>
  <c r="F5" i="8"/>
  <c r="E34" i="8"/>
  <c r="E47" i="8" s="1"/>
  <c r="P28" i="8"/>
  <c r="J51" i="8" s="1"/>
  <c r="E54" i="8" s="1"/>
  <c r="E9" i="8"/>
  <c r="I51" i="8"/>
  <c r="D54" i="8" s="1"/>
  <c r="D12" i="8"/>
  <c r="D13" i="8"/>
  <c r="D14" i="1"/>
  <c r="E13" i="1"/>
  <c r="E14" i="1" s="1"/>
  <c r="I25" i="1" s="1"/>
  <c r="I24" i="1"/>
  <c r="H24" i="1"/>
  <c r="N24" i="1" s="1"/>
  <c r="N6" i="1"/>
  <c r="M6" i="1"/>
  <c r="M10" i="1" s="1"/>
  <c r="M12" i="1" s="1"/>
  <c r="M13" i="1" s="1"/>
  <c r="M15" i="1" s="1"/>
  <c r="G32" i="9" l="1"/>
  <c r="G53" i="9"/>
  <c r="G33" i="9"/>
  <c r="G25" i="9"/>
  <c r="G56" i="9" s="1"/>
  <c r="F56" i="9"/>
  <c r="G22" i="9"/>
  <c r="O20" i="9"/>
  <c r="D45" i="9"/>
  <c r="D49" i="9" s="1"/>
  <c r="G5" i="9"/>
  <c r="F6" i="9"/>
  <c r="F7" i="9"/>
  <c r="F9" i="9"/>
  <c r="F26" i="9"/>
  <c r="F48" i="9" s="1"/>
  <c r="Q28" i="9"/>
  <c r="F34" i="9"/>
  <c r="E12" i="9"/>
  <c r="E13" i="9"/>
  <c r="K46" i="9"/>
  <c r="P29" i="9"/>
  <c r="E51" i="9" s="1"/>
  <c r="E54" i="9" s="1"/>
  <c r="P34" i="9"/>
  <c r="J51" i="9"/>
  <c r="O30" i="9"/>
  <c r="F52" i="9"/>
  <c r="O34" i="9"/>
  <c r="G33" i="8"/>
  <c r="G52" i="8" s="1"/>
  <c r="G32" i="8"/>
  <c r="G53" i="8" s="1"/>
  <c r="G25" i="8"/>
  <c r="G56" i="8" s="1"/>
  <c r="F56" i="8"/>
  <c r="G22" i="8"/>
  <c r="Q28" i="8"/>
  <c r="K51" i="8" s="1"/>
  <c r="F54" i="8" s="1"/>
  <c r="G5" i="8"/>
  <c r="F6" i="8"/>
  <c r="F7" i="8" s="1"/>
  <c r="F11" i="8" s="1"/>
  <c r="F9" i="8"/>
  <c r="F26" i="8"/>
  <c r="F48" i="8" s="1"/>
  <c r="F34" i="8"/>
  <c r="E12" i="8"/>
  <c r="E13" i="8" s="1"/>
  <c r="K46" i="8"/>
  <c r="P29" i="8"/>
  <c r="O20" i="8"/>
  <c r="D45" i="8"/>
  <c r="D49" i="8" s="1"/>
  <c r="H25" i="1"/>
  <c r="N25" i="1" s="1"/>
  <c r="N14" i="1" s="1"/>
  <c r="N15" i="1" s="1"/>
  <c r="N10" i="1"/>
  <c r="N12" i="1" s="1"/>
  <c r="N13" i="1" s="1"/>
  <c r="N5" i="1"/>
  <c r="M5" i="1"/>
  <c r="O21" i="9" l="1"/>
  <c r="D57" i="9" s="1"/>
  <c r="D58" i="9" s="1"/>
  <c r="D60" i="9" s="1"/>
  <c r="D62" i="9" s="1"/>
  <c r="E61" i="9" s="1"/>
  <c r="G6" i="9"/>
  <c r="G7" i="9"/>
  <c r="G9" i="9"/>
  <c r="G26" i="9"/>
  <c r="G48" i="9" s="1"/>
  <c r="G34" i="9"/>
  <c r="R28" i="9"/>
  <c r="Q29" i="9"/>
  <c r="F51" i="9" s="1"/>
  <c r="F54" i="9" s="1"/>
  <c r="L46" i="9"/>
  <c r="Q34" i="9"/>
  <c r="K51" i="9"/>
  <c r="F47" i="9"/>
  <c r="G47" i="9"/>
  <c r="P20" i="9"/>
  <c r="P21" i="9" s="1"/>
  <c r="E57" i="9" s="1"/>
  <c r="E58" i="9" s="1"/>
  <c r="E45" i="9"/>
  <c r="E49" i="9" s="1"/>
  <c r="E60" i="9" s="1"/>
  <c r="E62" i="9" s="1"/>
  <c r="F61" i="9" s="1"/>
  <c r="D31" i="9"/>
  <c r="D35" i="9" s="1"/>
  <c r="P27" i="9"/>
  <c r="P30" i="9" s="1"/>
  <c r="G52" i="9"/>
  <c r="F11" i="9"/>
  <c r="F12" i="8"/>
  <c r="F13" i="8" s="1"/>
  <c r="G9" i="8"/>
  <c r="G34" i="8"/>
  <c r="R28" i="8"/>
  <c r="L51" i="8" s="1"/>
  <c r="G54" i="8" s="1"/>
  <c r="G6" i="8"/>
  <c r="G7" i="8"/>
  <c r="G11" i="8" s="1"/>
  <c r="G26" i="8"/>
  <c r="G48" i="8" s="1"/>
  <c r="Q29" i="8"/>
  <c r="L46" i="8"/>
  <c r="F47" i="8"/>
  <c r="G47" i="8"/>
  <c r="P20" i="8"/>
  <c r="P21" i="8" s="1"/>
  <c r="E57" i="8" s="1"/>
  <c r="E58" i="8" s="1"/>
  <c r="E45" i="8"/>
  <c r="E49" i="8" s="1"/>
  <c r="E60" i="8" s="1"/>
  <c r="O21" i="8"/>
  <c r="R29" i="9" l="1"/>
  <c r="G51" i="9" s="1"/>
  <c r="G54" i="9" s="1"/>
  <c r="M46" i="9"/>
  <c r="R34" i="9"/>
  <c r="L51" i="9"/>
  <c r="E31" i="9"/>
  <c r="E35" i="9" s="1"/>
  <c r="Q27" i="9"/>
  <c r="Q30" i="9" s="1"/>
  <c r="F12" i="9"/>
  <c r="G11" i="9"/>
  <c r="O22" i="9"/>
  <c r="Q20" i="8"/>
  <c r="Q21" i="8" s="1"/>
  <c r="F57" i="8" s="1"/>
  <c r="F58" i="8" s="1"/>
  <c r="F45" i="8"/>
  <c r="F49" i="8" s="1"/>
  <c r="F60" i="8" s="1"/>
  <c r="R29" i="8"/>
  <c r="M46" i="8"/>
  <c r="G12" i="8"/>
  <c r="G13" i="8" s="1"/>
  <c r="D57" i="8"/>
  <c r="D58" i="8" s="1"/>
  <c r="D60" i="8" s="1"/>
  <c r="D62" i="8" s="1"/>
  <c r="E61" i="8" s="1"/>
  <c r="E62" i="8" s="1"/>
  <c r="F61" i="8" s="1"/>
  <c r="O22" i="8"/>
  <c r="R27" i="9" l="1"/>
  <c r="R30" i="9" s="1"/>
  <c r="G31" i="9" s="1"/>
  <c r="G35" i="9" s="1"/>
  <c r="F31" i="9"/>
  <c r="F35" i="9" s="1"/>
  <c r="G12" i="9"/>
  <c r="D24" i="9"/>
  <c r="D27" i="9" s="1"/>
  <c r="D38" i="9" s="1"/>
  <c r="P19" i="9"/>
  <c r="P22" i="9" s="1"/>
  <c r="F13" i="9"/>
  <c r="F62" i="8"/>
  <c r="G61" i="8" s="1"/>
  <c r="R20" i="8"/>
  <c r="R21" i="8" s="1"/>
  <c r="G57" i="8" s="1"/>
  <c r="G58" i="8" s="1"/>
  <c r="G45" i="8"/>
  <c r="G49" i="8" s="1"/>
  <c r="G60" i="8" s="1"/>
  <c r="P19" i="8"/>
  <c r="P22" i="8" s="1"/>
  <c r="D24" i="8"/>
  <c r="D27" i="8" s="1"/>
  <c r="E24" i="9" l="1"/>
  <c r="E27" i="9" s="1"/>
  <c r="E38" i="9" s="1"/>
  <c r="Q19" i="9"/>
  <c r="Q22" i="9" s="1"/>
  <c r="F45" i="9"/>
  <c r="F49" i="9" s="1"/>
  <c r="F60" i="9" s="1"/>
  <c r="F62" i="9" s="1"/>
  <c r="G61" i="9" s="1"/>
  <c r="Q20" i="9"/>
  <c r="Q21" i="9" s="1"/>
  <c r="F57" i="9" s="1"/>
  <c r="F58" i="9" s="1"/>
  <c r="G13" i="9"/>
  <c r="G62" i="8"/>
  <c r="E24" i="8"/>
  <c r="E27" i="8" s="1"/>
  <c r="Q19" i="8"/>
  <c r="Q22" i="8" s="1"/>
  <c r="F24" i="9" l="1"/>
  <c r="F27" i="9" s="1"/>
  <c r="F38" i="9" s="1"/>
  <c r="R19" i="9"/>
  <c r="R22" i="9" s="1"/>
  <c r="G24" i="9" s="1"/>
  <c r="G27" i="9" s="1"/>
  <c r="G38" i="9" s="1"/>
  <c r="G45" i="9"/>
  <c r="G49" i="9" s="1"/>
  <c r="G60" i="9" s="1"/>
  <c r="G62" i="9" s="1"/>
  <c r="R20" i="9"/>
  <c r="R21" i="9" s="1"/>
  <c r="G57" i="9" s="1"/>
  <c r="G58" i="9" s="1"/>
  <c r="F24" i="8"/>
  <c r="F27" i="8" s="1"/>
  <c r="R19" i="8"/>
  <c r="R22" i="8" s="1"/>
  <c r="G24" i="8" s="1"/>
  <c r="G27" i="8" s="1"/>
  <c r="D31" i="8" l="1"/>
  <c r="D35" i="8" s="1"/>
  <c r="D38" i="8" s="1"/>
  <c r="P27" i="8"/>
  <c r="P30" i="8" s="1"/>
  <c r="Q27" i="8" l="1"/>
  <c r="Q30" i="8" s="1"/>
  <c r="E31" i="8"/>
  <c r="E35" i="8" s="1"/>
  <c r="E38" i="8" s="1"/>
  <c r="R27" i="8" l="1"/>
  <c r="R30" i="8" s="1"/>
  <c r="G31" i="8" s="1"/>
  <c r="G35" i="8" s="1"/>
  <c r="G38" i="8" s="1"/>
  <c r="F31" i="8"/>
  <c r="F35" i="8" s="1"/>
  <c r="F38" i="8" s="1"/>
</calcChain>
</file>

<file path=xl/sharedStrings.xml><?xml version="1.0" encoding="utf-8"?>
<sst xmlns="http://schemas.openxmlformats.org/spreadsheetml/2006/main" count="326" uniqueCount="123">
  <si>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</si>
  <si>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</si>
  <si>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</si>
  <si>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</si>
  <si>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</si>
  <si>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</si>
  <si>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</si>
  <si>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</si>
  <si>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</si>
  <si>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</si>
  <si>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</si>
  <si>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</si>
  <si>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</si>
  <si>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</si>
  <si>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</si>
  <si>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</si>
  <si>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</si>
  <si>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</si>
  <si>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</si>
  <si>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</si>
  <si>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</si>
  <si>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</si>
  <si>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</si>
  <si>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</si>
  <si>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</si>
  <si>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</si>
  <si>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</si>
  <si>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</si>
  <si>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</si>
  <si>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</si>
  <si>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</si>
  <si>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</si>
  <si>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</si>
  <si>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</si>
  <si>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</si>
  <si>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</si>
  <si>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</si>
  <si>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</si>
  <si>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</si>
  <si>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</si>
  <si>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</si>
  <si>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</si>
  <si>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</si>
  <si>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</si>
  <si>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</si>
  <si>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</si>
  <si>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</si>
  <si>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</si>
  <si>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</si>
  <si>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</si>
  <si>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</si>
  <si>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</si>
  <si>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</si>
  <si>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</si>
  <si>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</si>
  <si>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</si>
  <si>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</si>
  <si>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</si>
  <si>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</si>
  <si>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</si>
  <si>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</si>
  <si>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</si>
  <si>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</si>
  <si>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ASIAN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</si>
  <si>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</si>
  <si>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</si>
  <si>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</si>
  <si>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</si>
  <si>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</si>
  <si>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</si>
  <si>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</si>
  <si>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</si>
  <si>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</si>
  <si>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</si>
  <si>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</si>
  <si>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</si>
  <si>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</si>
  <si>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</si>
  <si>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</si>
  <si>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</si>
  <si>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</si>
  <si>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</si>
  <si>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</si>
  <si>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</si>
  <si>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</si>
  <si>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</si>
  <si>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</si>
  <si>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</si>
  <si>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</si>
  <si>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</si>
  <si>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</si>
  <si>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</si>
  <si>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</si>
  <si>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Cash</t>
  </si>
  <si>
    <t>CAGR</t>
  </si>
  <si>
    <t>Balance Check</t>
  </si>
  <si>
    <t>Total Others Assets</t>
  </si>
  <si>
    <t>sales</t>
  </si>
  <si>
    <t>Expenses % sales</t>
  </si>
  <si>
    <t>Borrowing</t>
  </si>
  <si>
    <t>Others Liabilities</t>
  </si>
  <si>
    <t>Share Capital</t>
  </si>
  <si>
    <t>CWIP</t>
  </si>
  <si>
    <t>Others Assets</t>
  </si>
  <si>
    <t>Dividend</t>
  </si>
  <si>
    <t>Reserve</t>
  </si>
  <si>
    <t>Beginning Reserve</t>
  </si>
  <si>
    <t>Net Income</t>
  </si>
  <si>
    <t>End Reserve</t>
  </si>
  <si>
    <t>Beginning Net Block</t>
  </si>
  <si>
    <t>Capex</t>
  </si>
  <si>
    <t>End Net Block</t>
  </si>
  <si>
    <t>% of sales</t>
  </si>
  <si>
    <t>Cash Flow Statement</t>
  </si>
  <si>
    <t>Change in Op</t>
  </si>
  <si>
    <t>Change in Investing</t>
  </si>
  <si>
    <t xml:space="preserve">Change In Financing </t>
  </si>
  <si>
    <t>Net Changes</t>
  </si>
  <si>
    <t>Previous Year Cash</t>
  </si>
  <si>
    <t>Net Cash</t>
  </si>
  <si>
    <t>Net INCOME</t>
  </si>
  <si>
    <t>Revolver</t>
  </si>
  <si>
    <t xml:space="preserve">Deprecation is added to in op , it is main purposes to reduce capex due to in balance sheet change in dep is not considered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</si>
</sst>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;[Red]0"/>
    <numFmt numFmtId="167" formatCode="0.00;[Red]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275D8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5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10" fillId="0" borderId="0" xfId="0" applyNumberFormat="1" applyFont="1"/>
    <xf numFmtId="165" fontId="1" fillId="0" borderId="0" xfId="0" applyNumberFormat="1" applyFont="1"/>
    <xf numFmtId="2" fontId="0" fillId="0" borderId="0" xfId="0" applyNumberFormat="1"/>
    <xf numFmtId="166" fontId="11" fillId="0" borderId="0" xfId="0" applyNumberFormat="1" applyFont="1"/>
    <xf numFmtId="166" fontId="1" fillId="0" borderId="0" xfId="0" applyNumberFormat="1" applyFont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D5" activePane="bottomRight" state="frozen"/>
      <selection activeCell="I2" sqref="I2"/>
      <selection pane="topRight" activeCell="I2" sqref="I2"/>
      <selection pane="bottomLeft" activeCell="I2" sqref="I2"/>
      <selection pane="bottomRight" activeCell="K12" sqref="K12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ASIAN PAINTS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14271.49</v>
      </c>
      <c r="C4" s="1">
        <f>'Data Sheet'!C17</f>
        <v>15061.99</v>
      </c>
      <c r="D4" s="1">
        <f>'Data Sheet'!D17</f>
        <v>16824.55</v>
      </c>
      <c r="E4" s="1">
        <f>'Data Sheet'!E17</f>
        <v>19240.13</v>
      </c>
      <c r="F4" s="1">
        <f>'Data Sheet'!F17</f>
        <v>20211.25</v>
      </c>
      <c r="G4" s="1">
        <f>'Data Sheet'!G17</f>
        <v>21712.79</v>
      </c>
      <c r="H4" s="1">
        <f>'Data Sheet'!H17</f>
        <v>29101.279999999999</v>
      </c>
      <c r="I4" s="1">
        <f>'Data Sheet'!I17</f>
        <v>34488.589999999997</v>
      </c>
      <c r="J4" s="1">
        <f>'Data Sheet'!J17</f>
        <v>35494.730000000003</v>
      </c>
      <c r="K4" s="1">
        <f>'Data Sheet'!K17</f>
        <v>33905.620000000003</v>
      </c>
      <c r="L4" s="1">
        <f>SUM(Quarters!H4:K4)</f>
        <v>34695.75</v>
      </c>
      <c r="M4" s="1">
        <f>$K4+M23*K4</f>
        <v>35677.265195093263</v>
      </c>
      <c r="N4" s="1">
        <f>$K4+N23*L4</f>
        <v>34714.163036449412</v>
      </c>
    </row>
    <row r="5" spans="1:14" x14ac:dyDescent="0.3">
      <c r="A5" t="s">
        <v>7</v>
      </c>
      <c r="B5" s="6">
        <f>SUM('Data Sheet'!B18,'Data Sheet'!B20:B24, -1*'Data Sheet'!B19)</f>
        <v>11546.449999999997</v>
      </c>
      <c r="C5" s="6">
        <f>SUM('Data Sheet'!C18,'Data Sheet'!C20:C24, -1*'Data Sheet'!C19)</f>
        <v>12068.23</v>
      </c>
      <c r="D5" s="6">
        <f>SUM('Data Sheet'!D18,'Data Sheet'!D20:D24, -1*'Data Sheet'!D19)</f>
        <v>13620.539999999999</v>
      </c>
      <c r="E5" s="6">
        <f>SUM('Data Sheet'!E18,'Data Sheet'!E20:E24, -1*'Data Sheet'!E19)</f>
        <v>15475.189999999999</v>
      </c>
      <c r="F5" s="6">
        <f>SUM('Data Sheet'!F18,'Data Sheet'!F20:F24, -1*'Data Sheet'!F19)</f>
        <v>16043.86</v>
      </c>
      <c r="G5" s="6">
        <f>SUM('Data Sheet'!G18,'Data Sheet'!G20:G24, -1*'Data Sheet'!G19)</f>
        <v>16857.189999999999</v>
      </c>
      <c r="H5" s="6">
        <f>SUM('Data Sheet'!H18,'Data Sheet'!H20:H24, -1*'Data Sheet'!H19)</f>
        <v>24297.67</v>
      </c>
      <c r="I5" s="6">
        <f>SUM('Data Sheet'!I18,'Data Sheet'!I20:I24, -1*'Data Sheet'!I19)</f>
        <v>28228.75</v>
      </c>
      <c r="J5" s="6">
        <f>SUM('Data Sheet'!J18,'Data Sheet'!J20:J24, -1*'Data Sheet'!J19)</f>
        <v>27909.750000000004</v>
      </c>
      <c r="K5" s="6">
        <f>SUM('Data Sheet'!K18,'Data Sheet'!K20:K24, -1*'Data Sheet'!K19)</f>
        <v>27899.41</v>
      </c>
      <c r="L5" s="6">
        <f>SUM(Quarters!H5:K5)</f>
        <v>28350.240000000002</v>
      </c>
      <c r="M5" s="6">
        <f t="shared" ref="M5:N5" si="0">M4-M6</f>
        <v>28860.076939002171</v>
      </c>
      <c r="N5" s="6">
        <f t="shared" si="0"/>
        <v>28365.285473940457</v>
      </c>
    </row>
    <row r="6" spans="1:14" s="2" customFormat="1" x14ac:dyDescent="0.3">
      <c r="A6" s="2" t="s">
        <v>8</v>
      </c>
      <c r="B6" s="1">
        <f>B4-B5</f>
        <v>2725.0400000000027</v>
      </c>
      <c r="C6" s="1">
        <f t="shared" ref="C6:K6" si="1">C4-C5</f>
        <v>2993.76</v>
      </c>
      <c r="D6" s="1">
        <f t="shared" si="1"/>
        <v>3204.01</v>
      </c>
      <c r="E6" s="1">
        <f t="shared" si="1"/>
        <v>3764.9400000000023</v>
      </c>
      <c r="F6" s="1">
        <f t="shared" si="1"/>
        <v>4167.3899999999994</v>
      </c>
      <c r="G6" s="1">
        <f t="shared" si="1"/>
        <v>4855.6000000000022</v>
      </c>
      <c r="H6" s="1">
        <f t="shared" si="1"/>
        <v>4803.6100000000006</v>
      </c>
      <c r="I6" s="1">
        <f t="shared" si="1"/>
        <v>6259.8399999999965</v>
      </c>
      <c r="J6" s="1">
        <f t="shared" si="1"/>
        <v>7584.98</v>
      </c>
      <c r="K6" s="1">
        <f t="shared" si="1"/>
        <v>6006.2100000000028</v>
      </c>
      <c r="L6" s="1">
        <f>SUM(Quarters!H6:K6)</f>
        <v>6345.51</v>
      </c>
      <c r="M6" s="1">
        <f>M4*M24</f>
        <v>6817.1882560910926</v>
      </c>
      <c r="N6" s="1">
        <f>N4*N24</f>
        <v>6348.8775625089556</v>
      </c>
    </row>
    <row r="7" spans="1:14" x14ac:dyDescent="0.3">
      <c r="A7" t="s">
        <v>9</v>
      </c>
      <c r="B7" s="6">
        <f>'Data Sheet'!B25</f>
        <v>213.39</v>
      </c>
      <c r="C7" s="6">
        <f>'Data Sheet'!C25</f>
        <v>337.9</v>
      </c>
      <c r="D7" s="6">
        <f>'Data Sheet'!D25</f>
        <v>336.41</v>
      </c>
      <c r="E7" s="6">
        <f>'Data Sheet'!E25</f>
        <v>273.77</v>
      </c>
      <c r="F7" s="6">
        <f>'Data Sheet'!F25</f>
        <v>350.1</v>
      </c>
      <c r="G7" s="6">
        <f>'Data Sheet'!G25</f>
        <v>331.65</v>
      </c>
      <c r="H7" s="6">
        <f>'Data Sheet'!H25</f>
        <v>295.88</v>
      </c>
      <c r="I7" s="6">
        <f>'Data Sheet'!I25</f>
        <v>431.46</v>
      </c>
      <c r="J7" s="6">
        <f>'Data Sheet'!J25</f>
        <v>820.96</v>
      </c>
      <c r="K7" s="6">
        <f>'Data Sheet'!K25</f>
        <v>350.22</v>
      </c>
      <c r="L7" s="6">
        <f>SUM(Quarters!H7:K7)</f>
        <v>475.13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275.58</v>
      </c>
      <c r="C8" s="6">
        <f>'Data Sheet'!C26</f>
        <v>334.79</v>
      </c>
      <c r="D8" s="6">
        <f>'Data Sheet'!D26</f>
        <v>360.47</v>
      </c>
      <c r="E8" s="6">
        <f>'Data Sheet'!E26</f>
        <v>622.14</v>
      </c>
      <c r="F8" s="6">
        <f>'Data Sheet'!F26</f>
        <v>780.5</v>
      </c>
      <c r="G8" s="6">
        <f>'Data Sheet'!G26</f>
        <v>791.27</v>
      </c>
      <c r="H8" s="6">
        <f>'Data Sheet'!H26</f>
        <v>816.36</v>
      </c>
      <c r="I8" s="6">
        <f>'Data Sheet'!I26</f>
        <v>858.02</v>
      </c>
      <c r="J8" s="6">
        <f>'Data Sheet'!J26</f>
        <v>853</v>
      </c>
      <c r="K8" s="6">
        <f>'Data Sheet'!K26</f>
        <v>1026.3399999999999</v>
      </c>
      <c r="L8" s="6">
        <f>SUM(Quarters!H8:K8)</f>
        <v>1219.97</v>
      </c>
      <c r="M8" s="6">
        <f>+$L8</f>
        <v>1219.97</v>
      </c>
      <c r="N8" s="6">
        <f>+$L8</f>
        <v>1219.97</v>
      </c>
    </row>
    <row r="9" spans="1:14" x14ac:dyDescent="0.3">
      <c r="A9" t="s">
        <v>11</v>
      </c>
      <c r="B9" s="6">
        <f>'Data Sheet'!B27</f>
        <v>49</v>
      </c>
      <c r="C9" s="6">
        <f>'Data Sheet'!C27</f>
        <v>37.33</v>
      </c>
      <c r="D9" s="6">
        <f>'Data Sheet'!D27</f>
        <v>41.47</v>
      </c>
      <c r="E9" s="6">
        <f>'Data Sheet'!E27</f>
        <v>110.47</v>
      </c>
      <c r="F9" s="6">
        <f>'Data Sheet'!F27</f>
        <v>107.95</v>
      </c>
      <c r="G9" s="6">
        <f>'Data Sheet'!G27</f>
        <v>91.63</v>
      </c>
      <c r="H9" s="6">
        <f>'Data Sheet'!H27</f>
        <v>95.41</v>
      </c>
      <c r="I9" s="6">
        <f>'Data Sheet'!I27</f>
        <v>144.44999999999999</v>
      </c>
      <c r="J9" s="6">
        <f>'Data Sheet'!J27</f>
        <v>205.17</v>
      </c>
      <c r="K9" s="6">
        <f>'Data Sheet'!K27</f>
        <v>227.02</v>
      </c>
      <c r="L9" s="6">
        <f>SUM(Quarters!H9:K9)</f>
        <v>189.1</v>
      </c>
      <c r="M9" s="6">
        <f>+$L9</f>
        <v>189.1</v>
      </c>
      <c r="N9" s="6">
        <f>+$L9</f>
        <v>189.1</v>
      </c>
    </row>
    <row r="10" spans="1:14" x14ac:dyDescent="0.3">
      <c r="A10" t="s">
        <v>12</v>
      </c>
      <c r="B10" s="6">
        <f>'Data Sheet'!B28</f>
        <v>2613.85</v>
      </c>
      <c r="C10" s="6">
        <f>'Data Sheet'!C28</f>
        <v>2959.54</v>
      </c>
      <c r="D10" s="6">
        <f>'Data Sheet'!D28</f>
        <v>3138.48</v>
      </c>
      <c r="E10" s="6">
        <f>'Data Sheet'!E28</f>
        <v>3306.1</v>
      </c>
      <c r="F10" s="6">
        <f>'Data Sheet'!F28</f>
        <v>3629.04</v>
      </c>
      <c r="G10" s="6">
        <f>'Data Sheet'!G28</f>
        <v>4304.3500000000004</v>
      </c>
      <c r="H10" s="6">
        <f>'Data Sheet'!H28</f>
        <v>4187.72</v>
      </c>
      <c r="I10" s="6">
        <f>'Data Sheet'!I28</f>
        <v>5688.83</v>
      </c>
      <c r="J10" s="6">
        <f>'Data Sheet'!J28</f>
        <v>7347.77</v>
      </c>
      <c r="K10" s="6">
        <f>'Data Sheet'!K28</f>
        <v>5103.07</v>
      </c>
      <c r="L10" s="6">
        <f>SUM(Quarters!H10:K10)</f>
        <v>5411.57</v>
      </c>
      <c r="M10" s="6">
        <f>M6+M7-SUM(M8:M9)</f>
        <v>5408.1182560910929</v>
      </c>
      <c r="N10" s="6">
        <f>N6+N7-SUM(N8:N9)</f>
        <v>4939.8075625089559</v>
      </c>
    </row>
    <row r="11" spans="1:14" x14ac:dyDescent="0.3">
      <c r="A11" t="s">
        <v>13</v>
      </c>
      <c r="B11" s="6">
        <f>'Data Sheet'!B29</f>
        <v>844.49</v>
      </c>
      <c r="C11" s="6">
        <f>'Data Sheet'!C29</f>
        <v>943.29</v>
      </c>
      <c r="D11" s="6">
        <f>'Data Sheet'!D29</f>
        <v>1040.96</v>
      </c>
      <c r="E11" s="6">
        <f>'Data Sheet'!E29</f>
        <v>1098.06</v>
      </c>
      <c r="F11" s="6">
        <f>'Data Sheet'!F29</f>
        <v>854.85</v>
      </c>
      <c r="G11" s="6">
        <f>'Data Sheet'!G29</f>
        <v>1097.5999999999999</v>
      </c>
      <c r="H11" s="6">
        <f>'Data Sheet'!H29</f>
        <v>1102.9100000000001</v>
      </c>
      <c r="I11" s="6">
        <f>'Data Sheet'!I29</f>
        <v>1493.5</v>
      </c>
      <c r="J11" s="6">
        <f>'Data Sheet'!J29</f>
        <v>1790.08</v>
      </c>
      <c r="K11" s="6">
        <f>'Data Sheet'!K29</f>
        <v>1393.36</v>
      </c>
      <c r="L11" s="6">
        <f>SUM(Quarters!H11:K11)</f>
        <v>1501.5400000000002</v>
      </c>
      <c r="M11" s="7">
        <f>IF($L10&gt;0,$L11/$L10,0)</f>
        <v>0.27746846109354589</v>
      </c>
      <c r="N11" s="7">
        <f>IF($L10&gt;0,$L11/$L10,0)</f>
        <v>0.27746846109354589</v>
      </c>
    </row>
    <row r="12" spans="1:14" s="2" customFormat="1" x14ac:dyDescent="0.3">
      <c r="A12" s="2" t="s">
        <v>14</v>
      </c>
      <c r="B12" s="1">
        <f>'Data Sheet'!B30</f>
        <v>1745.16</v>
      </c>
      <c r="C12" s="1">
        <f>'Data Sheet'!C30</f>
        <v>1939.43</v>
      </c>
      <c r="D12" s="1">
        <f>'Data Sheet'!D30</f>
        <v>2038.93</v>
      </c>
      <c r="E12" s="1">
        <f>'Data Sheet'!E30</f>
        <v>2155.92</v>
      </c>
      <c r="F12" s="1">
        <f>'Data Sheet'!F30</f>
        <v>2705.17</v>
      </c>
      <c r="G12" s="1">
        <f>'Data Sheet'!G30</f>
        <v>3139.29</v>
      </c>
      <c r="H12" s="1">
        <f>'Data Sheet'!H30</f>
        <v>3030.57</v>
      </c>
      <c r="I12" s="1">
        <f>'Data Sheet'!I30</f>
        <v>4106.45</v>
      </c>
      <c r="J12" s="1">
        <f>'Data Sheet'!J30</f>
        <v>5460.23</v>
      </c>
      <c r="K12" s="1">
        <f>'Data Sheet'!K30</f>
        <v>3667.23</v>
      </c>
      <c r="L12" s="1">
        <f>SUM(Quarters!H12:K12)</f>
        <v>3845.36</v>
      </c>
      <c r="M12" s="1">
        <f>M10-M11*M10</f>
        <v>3907.5360061615866</v>
      </c>
      <c r="N12" s="1">
        <f>N10-N11*N10</f>
        <v>3569.1667600413357</v>
      </c>
    </row>
    <row r="13" spans="1:14" x14ac:dyDescent="0.3">
      <c r="A13" t="s">
        <v>57</v>
      </c>
      <c r="B13" s="6">
        <f>IF('Data Sheet'!B93&gt;0,B12/'Data Sheet'!B93,0)</f>
        <v>18.193911592994162</v>
      </c>
      <c r="C13" s="6">
        <f>IF('Data Sheet'!C93&gt;0,C12/'Data Sheet'!C93,0)</f>
        <v>20.219245204336946</v>
      </c>
      <c r="D13" s="6">
        <f>IF('Data Sheet'!D93&gt;0,D12/'Data Sheet'!D93,0)</f>
        <v>21.256567973311093</v>
      </c>
      <c r="E13" s="6">
        <f>IF('Data Sheet'!E93&gt;0,E12/'Data Sheet'!E93,0)</f>
        <v>22.476230191826524</v>
      </c>
      <c r="F13" s="6">
        <f>IF('Data Sheet'!F93&gt;0,F12/'Data Sheet'!F93,0)</f>
        <v>28.202356130108424</v>
      </c>
      <c r="G13" s="6">
        <f>IF('Data Sheet'!G93&gt;0,G12/'Data Sheet'!G93,0)</f>
        <v>32.728211009174309</v>
      </c>
      <c r="H13" s="6">
        <f>IF('Data Sheet'!H93&gt;0,H12/'Data Sheet'!H93,0)</f>
        <v>31.594766472060051</v>
      </c>
      <c r="I13" s="6">
        <f>IF('Data Sheet'!I93&gt;0,I12/'Data Sheet'!I93,0)</f>
        <v>42.811196830692239</v>
      </c>
      <c r="J13" s="6">
        <f>IF('Data Sheet'!J93&gt;0,J12/'Data Sheet'!J93,0)</f>
        <v>56.924833194328599</v>
      </c>
      <c r="K13" s="6">
        <f>IF('Data Sheet'!K93&gt;0,K12/'Data Sheet'!K93,0)</f>
        <v>38.232172643869895</v>
      </c>
      <c r="L13" s="6">
        <f>IF('Data Sheet'!$B6&gt;0,'Profit &amp; Loss'!L12/'Data Sheet'!$B6,0)</f>
        <v>40.090176182251973</v>
      </c>
      <c r="M13" s="6">
        <f>IF('Data Sheet'!$B6&gt;0,'Profit &amp; Loss'!M12/'Data Sheet'!$B6,0)</f>
        <v>40.738398206022644</v>
      </c>
      <c r="N13" s="6">
        <f>IF('Data Sheet'!$B6&gt;0,'Profit &amp; Loss'!N12/'Data Sheet'!$B6,0)</f>
        <v>37.210696588588483</v>
      </c>
    </row>
    <row r="14" spans="1:14" x14ac:dyDescent="0.3">
      <c r="A14" t="s">
        <v>16</v>
      </c>
      <c r="B14" s="6">
        <f>IF(B15&gt;0,B15/B13,"")</f>
        <v>47.730252813495611</v>
      </c>
      <c r="C14" s="6">
        <f t="shared" ref="C14:K14" si="2">IF(C15&gt;0,C15/C13,"")</f>
        <v>53.092980927385881</v>
      </c>
      <c r="D14" s="6">
        <f t="shared" si="2"/>
        <v>52.708414707714347</v>
      </c>
      <c r="E14" s="6">
        <f t="shared" si="2"/>
        <v>66.41238264870681</v>
      </c>
      <c r="F14" s="6">
        <f t="shared" si="2"/>
        <v>59.090807601740373</v>
      </c>
      <c r="G14" s="6">
        <f t="shared" si="2"/>
        <v>77.529443918847903</v>
      </c>
      <c r="H14" s="6">
        <f t="shared" si="2"/>
        <v>97.482917075005687</v>
      </c>
      <c r="I14" s="6">
        <f t="shared" si="2"/>
        <v>64.507656978655532</v>
      </c>
      <c r="J14" s="6">
        <f t="shared" si="2"/>
        <v>50.00893002675712</v>
      </c>
      <c r="K14" s="6">
        <f t="shared" si="2"/>
        <v>61.221998074841224</v>
      </c>
      <c r="L14" s="6">
        <f t="shared" ref="L14" si="3">IF(L13&gt;0,L15/L13,0)</f>
        <v>57.54776405850167</v>
      </c>
      <c r="M14" s="6">
        <f>M25</f>
        <v>58.321587284688889</v>
      </c>
      <c r="N14" s="6">
        <f>N25</f>
        <v>57.54776405850167</v>
      </c>
    </row>
    <row r="15" spans="1:14" s="2" customFormat="1" x14ac:dyDescent="0.3">
      <c r="A15" s="2" t="s">
        <v>58</v>
      </c>
      <c r="B15" s="1">
        <f>'Data Sheet'!B90</f>
        <v>868.4</v>
      </c>
      <c r="C15" s="1">
        <f>'Data Sheet'!C90</f>
        <v>1073.5</v>
      </c>
      <c r="D15" s="1">
        <f>'Data Sheet'!D90</f>
        <v>1120.4000000000001</v>
      </c>
      <c r="E15" s="1">
        <f>'Data Sheet'!E90</f>
        <v>1492.7</v>
      </c>
      <c r="F15" s="1">
        <f>'Data Sheet'!F90</f>
        <v>1666.5</v>
      </c>
      <c r="G15" s="1">
        <f>'Data Sheet'!G90</f>
        <v>2537.4</v>
      </c>
      <c r="H15" s="1">
        <f>'Data Sheet'!H90</f>
        <v>3079.95</v>
      </c>
      <c r="I15" s="1">
        <f>'Data Sheet'!I90</f>
        <v>2761.65</v>
      </c>
      <c r="J15" s="1">
        <f>'Data Sheet'!J90</f>
        <v>2846.75</v>
      </c>
      <c r="K15" s="1">
        <f>'Data Sheet'!K90</f>
        <v>2340.65</v>
      </c>
      <c r="L15" s="1">
        <f>'Data Sheet'!B8</f>
        <v>2307.1</v>
      </c>
      <c r="M15" s="8">
        <f>M13*M14</f>
        <v>2375.9280468109628</v>
      </c>
      <c r="N15" s="9">
        <f>N13*N14</f>
        <v>2141.3923877325828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0.41222581310596162</v>
      </c>
      <c r="C18" s="5">
        <f>IF('Data Sheet'!C30&gt;0, 'Data Sheet'!C31/'Data Sheet'!C30, 0)</f>
        <v>0.50941771551435211</v>
      </c>
      <c r="D18" s="5">
        <f>IF('Data Sheet'!D30&gt;0, 'Data Sheet'!D31/'Data Sheet'!D30, 0)</f>
        <v>0.40928330055470269</v>
      </c>
      <c r="E18" s="5">
        <f>IF('Data Sheet'!E30&gt;0, 'Data Sheet'!E31/'Data Sheet'!E30, 0)</f>
        <v>0.46716019147278187</v>
      </c>
      <c r="F18" s="5">
        <f>IF('Data Sheet'!F30&gt;0, 'Data Sheet'!F31/'Data Sheet'!F30, 0)</f>
        <v>0.42549636436896754</v>
      </c>
      <c r="G18" s="5">
        <f>IF('Data Sheet'!G30&gt;0, 'Data Sheet'!G31/'Data Sheet'!G30, 0)</f>
        <v>0.54540039308251231</v>
      </c>
      <c r="H18" s="5">
        <f>IF('Data Sheet'!H30&gt;0, 'Data Sheet'!H31/'Data Sheet'!H30, 0)</f>
        <v>0.6061137013829081</v>
      </c>
      <c r="I18" s="5">
        <f>IF('Data Sheet'!I30&gt;0, 'Data Sheet'!I31/'Data Sheet'!I30, 0)</f>
        <v>0.59914281191783658</v>
      </c>
      <c r="J18" s="5">
        <f>IF('Data Sheet'!J30&gt;0, 'Data Sheet'!J31/'Data Sheet'!J30, 0)</f>
        <v>0.58498268387961683</v>
      </c>
      <c r="K18" s="5">
        <f>IF('Data Sheet'!K30&gt;0, 'Data Sheet'!K31/'Data Sheet'!K30, 0)</f>
        <v>0.64866943169640301</v>
      </c>
    </row>
    <row r="19" spans="1:14" x14ac:dyDescent="0.3">
      <c r="A19" t="s">
        <v>18</v>
      </c>
      <c r="B19" s="5">
        <f t="shared" ref="B19:L19" si="4">IF(B6&gt;0,B6/B4,0)</f>
        <v>0.19094292186730347</v>
      </c>
      <c r="C19" s="5">
        <f t="shared" ref="C19:K19" si="5">IF(C6&gt;0,C6/C4,0)</f>
        <v>0.19876258050895004</v>
      </c>
      <c r="D19" s="5">
        <f t="shared" si="5"/>
        <v>0.19043659414367697</v>
      </c>
      <c r="E19" s="5">
        <f t="shared" si="5"/>
        <v>0.19568163000977656</v>
      </c>
      <c r="F19" s="5">
        <f t="shared" si="5"/>
        <v>0.20619160121219615</v>
      </c>
      <c r="G19" s="5">
        <f t="shared" si="5"/>
        <v>0.22362856178317028</v>
      </c>
      <c r="H19" s="5">
        <f t="shared" si="5"/>
        <v>0.16506524798909192</v>
      </c>
      <c r="I19" s="5">
        <f t="shared" si="5"/>
        <v>0.18150466574597562</v>
      </c>
      <c r="J19" s="5">
        <f t="shared" si="5"/>
        <v>0.21369313134654072</v>
      </c>
      <c r="K19" s="5">
        <f t="shared" si="5"/>
        <v>0.17714496888716391</v>
      </c>
      <c r="L19" s="5">
        <f t="shared" si="4"/>
        <v>0.18289012343010311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0.10092014636257685</v>
      </c>
      <c r="I23" s="5">
        <f>IF(D4=0,"",POWER($K4/D4,1/7)-1)</f>
        <v>0.10528801762676121</v>
      </c>
      <c r="J23" s="5">
        <f>IF(F4=0,"",POWER($K4/F4,1/5)-1)</f>
        <v>0.10901061549728808</v>
      </c>
      <c r="K23" s="5">
        <f>IF(H4=0,"",POWER($K4/H4, 1/3)-1)</f>
        <v>5.225225774055331E-2</v>
      </c>
      <c r="L23" s="5">
        <f>IF(ISERROR(MAX(IF(J4=0,"",(K4-J4)/J4),IF(K4=0,"",(L4-K4)/K4))),"",MAX(IF(J4=0,"",(K4-J4)/J4),IF(K4=0,"",(L4-K4)/K4)))</f>
        <v>2.3303806271644564E-2</v>
      </c>
      <c r="M23" s="16">
        <f>MAX(K23:L23)</f>
        <v>5.225225774055331E-2</v>
      </c>
      <c r="N23" s="16">
        <f>MIN(H23:L23)</f>
        <v>2.3303806271644564E-2</v>
      </c>
    </row>
    <row r="24" spans="1:14" x14ac:dyDescent="0.3">
      <c r="G24" t="s">
        <v>18</v>
      </c>
      <c r="H24" s="5">
        <f>IF(SUM(B4:$K$4)=0,"",SUMPRODUCT(B19:$K$19,B4:$K$4)/SUM(B4:$K$4))</f>
        <v>0.19293792638765822</v>
      </c>
      <c r="I24" s="5">
        <f>IF(SUM(E4:$K$4)=0,"",SUMPRODUCT(E19:$K$19,E4:$K$4)/SUM(E4:$K$4))</f>
        <v>0.19284946376952899</v>
      </c>
      <c r="J24" s="5">
        <f>IF(SUM(G4:$K$4)=0,"",SUMPRODUCT(G19:$K$19,G4:$K$4)/SUM(G4:$K$4))</f>
        <v>0.19075414240485689</v>
      </c>
      <c r="K24" s="5">
        <f>IF(SUM(I4:$K$4)=0, "", SUMPRODUCT(I19:$K$19,I4:$K$4)/SUM(I4:$K$4))</f>
        <v>0.1910793391481326</v>
      </c>
      <c r="L24" s="5">
        <f>L19</f>
        <v>0.18289012343010311</v>
      </c>
      <c r="M24" s="16">
        <f>MAX(K24:L24)</f>
        <v>0.1910793391481326</v>
      </c>
      <c r="N24" s="16">
        <f>MIN(H24:L24)</f>
        <v>0.18289012343010311</v>
      </c>
    </row>
    <row r="25" spans="1:14" x14ac:dyDescent="0.3">
      <c r="G25" t="s">
        <v>23</v>
      </c>
      <c r="H25" s="6">
        <f>IF(ISERROR(AVERAGEIF(B14:$L14,"&gt;0")),"",AVERAGEIF(B14:$L14,"&gt;0"))</f>
        <v>62.484868075604737</v>
      </c>
      <c r="I25" s="6">
        <f>IF(ISERROR(AVERAGEIF(E14:$L14,"&gt;0")),"",AVERAGEIF(E14:$L14,"&gt;0"))</f>
        <v>66.725237547882031</v>
      </c>
      <c r="J25" s="6">
        <f>IF(ISERROR(AVERAGEIF(G14:$L14,"&gt;0")),"",AVERAGEIF(G14:$L14,"&gt;0"))</f>
        <v>68.049785022101517</v>
      </c>
      <c r="K25" s="6">
        <f>IF(ISERROR(AVERAGEIF(I14:$L14,"&gt;0")),"",AVERAGEIF(I14:$L14,"&gt;0"))</f>
        <v>58.321587284688889</v>
      </c>
      <c r="L25" s="6">
        <f>L14</f>
        <v>57.54776405850167</v>
      </c>
      <c r="M25" s="1">
        <f>MAX(K25:L25)</f>
        <v>58.321587284688889</v>
      </c>
      <c r="N25" s="1">
        <f>MIN(H25:L25)</f>
        <v>57.54776405850167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ASIAN PAINTS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8478.57</v>
      </c>
      <c r="C4" s="1">
        <f>'Data Sheet'!C42</f>
        <v>9103.09</v>
      </c>
      <c r="D4" s="1">
        <f>'Data Sheet'!D42</f>
        <v>8730.76</v>
      </c>
      <c r="E4" s="1">
        <f>'Data Sheet'!E42</f>
        <v>8969.73</v>
      </c>
      <c r="F4" s="1">
        <f>'Data Sheet'!F42</f>
        <v>8027.54</v>
      </c>
      <c r="G4" s="1">
        <f>'Data Sheet'!G42</f>
        <v>8549.44</v>
      </c>
      <c r="H4" s="1">
        <f>'Data Sheet'!H42</f>
        <v>8358.91</v>
      </c>
      <c r="I4" s="1">
        <f>'Data Sheet'!I42</f>
        <v>8938.5499999999993</v>
      </c>
      <c r="J4" s="1">
        <f>'Data Sheet'!J42</f>
        <v>8531.27</v>
      </c>
      <c r="K4" s="1">
        <f>'Data Sheet'!K42</f>
        <v>8867.02</v>
      </c>
    </row>
    <row r="5" spans="1:11" x14ac:dyDescent="0.3">
      <c r="A5" t="s">
        <v>7</v>
      </c>
      <c r="B5" s="6">
        <f>'Data Sheet'!B43</f>
        <v>6762.34</v>
      </c>
      <c r="C5" s="6">
        <f>'Data Sheet'!C43</f>
        <v>7047</v>
      </c>
      <c r="D5" s="6">
        <f>'Data Sheet'!D43</f>
        <v>7039.39</v>
      </c>
      <c r="E5" s="6">
        <f>'Data Sheet'!E43</f>
        <v>7275.96</v>
      </c>
      <c r="F5" s="6">
        <f>'Data Sheet'!F43</f>
        <v>6788.03</v>
      </c>
      <c r="G5" s="6">
        <f>'Data Sheet'!G43</f>
        <v>6912.71</v>
      </c>
      <c r="H5" s="6">
        <f>'Data Sheet'!H43</f>
        <v>6922.71</v>
      </c>
      <c r="I5" s="6">
        <f>'Data Sheet'!I43</f>
        <v>7313.58</v>
      </c>
      <c r="J5" s="6">
        <f>'Data Sheet'!J43</f>
        <v>7027.89</v>
      </c>
      <c r="K5" s="6">
        <f>'Data Sheet'!K43</f>
        <v>7086.06</v>
      </c>
    </row>
    <row r="6" spans="1:11" s="2" customFormat="1" x14ac:dyDescent="0.3">
      <c r="A6" s="2" t="s">
        <v>8</v>
      </c>
      <c r="B6" s="1">
        <f>'Data Sheet'!B50</f>
        <v>1716.23</v>
      </c>
      <c r="C6" s="1">
        <f>'Data Sheet'!C50</f>
        <v>2056.09</v>
      </c>
      <c r="D6" s="1">
        <f>'Data Sheet'!D50</f>
        <v>1691.37</v>
      </c>
      <c r="E6" s="1">
        <f>'Data Sheet'!E50</f>
        <v>1693.77</v>
      </c>
      <c r="F6" s="1">
        <f>'Data Sheet'!F50</f>
        <v>1239.51</v>
      </c>
      <c r="G6" s="1">
        <f>'Data Sheet'!G50</f>
        <v>1636.73</v>
      </c>
      <c r="H6" s="1">
        <f>'Data Sheet'!H50</f>
        <v>1436.2</v>
      </c>
      <c r="I6" s="1">
        <f>'Data Sheet'!I50</f>
        <v>1624.97</v>
      </c>
      <c r="J6" s="1">
        <f>'Data Sheet'!J50</f>
        <v>1503.38</v>
      </c>
      <c r="K6" s="1">
        <f>'Data Sheet'!K50</f>
        <v>1780.96</v>
      </c>
    </row>
    <row r="7" spans="1:11" x14ac:dyDescent="0.3">
      <c r="A7" t="s">
        <v>9</v>
      </c>
      <c r="B7" s="6">
        <f>'Data Sheet'!B44</f>
        <v>194.33</v>
      </c>
      <c r="C7" s="6">
        <f>'Data Sheet'!C44</f>
        <v>186.46</v>
      </c>
      <c r="D7" s="6">
        <f>'Data Sheet'!D44</f>
        <v>212.43</v>
      </c>
      <c r="E7" s="6">
        <f>'Data Sheet'!E44</f>
        <v>192.93</v>
      </c>
      <c r="F7" s="6">
        <f>'Data Sheet'!F44</f>
        <v>24.53</v>
      </c>
      <c r="G7" s="6">
        <f>'Data Sheet'!G44</f>
        <v>192.82</v>
      </c>
      <c r="H7" s="6">
        <f>'Data Sheet'!H44</f>
        <v>-60.06</v>
      </c>
      <c r="I7" s="6">
        <f>'Data Sheet'!I44</f>
        <v>229.11</v>
      </c>
      <c r="J7" s="6">
        <f>'Data Sheet'!J44</f>
        <v>236.94</v>
      </c>
      <c r="K7" s="6">
        <f>'Data Sheet'!K44</f>
        <v>69.14</v>
      </c>
    </row>
    <row r="8" spans="1:11" x14ac:dyDescent="0.3">
      <c r="A8" t="s">
        <v>10</v>
      </c>
      <c r="B8" s="6">
        <f>'Data Sheet'!B45</f>
        <v>208.72</v>
      </c>
      <c r="C8" s="6">
        <f>'Data Sheet'!C45</f>
        <v>220.35</v>
      </c>
      <c r="D8" s="6">
        <f>'Data Sheet'!D45</f>
        <v>225.61</v>
      </c>
      <c r="E8" s="6">
        <f>'Data Sheet'!E45</f>
        <v>227.7</v>
      </c>
      <c r="F8" s="6">
        <f>'Data Sheet'!F45</f>
        <v>241.99</v>
      </c>
      <c r="G8" s="6">
        <f>'Data Sheet'!G45</f>
        <v>255.55</v>
      </c>
      <c r="H8" s="6">
        <f>'Data Sheet'!H45</f>
        <v>301.10000000000002</v>
      </c>
      <c r="I8" s="6">
        <f>'Data Sheet'!I45</f>
        <v>300.87</v>
      </c>
      <c r="J8" s="6">
        <f>'Data Sheet'!J45</f>
        <v>304.93</v>
      </c>
      <c r="K8" s="6">
        <f>'Data Sheet'!K45</f>
        <v>313.07</v>
      </c>
    </row>
    <row r="9" spans="1:11" x14ac:dyDescent="0.3">
      <c r="A9" t="s">
        <v>11</v>
      </c>
      <c r="B9" s="6">
        <f>'Data Sheet'!B46</f>
        <v>50.9</v>
      </c>
      <c r="C9" s="6">
        <f>'Data Sheet'!C46</f>
        <v>54.42</v>
      </c>
      <c r="D9" s="6">
        <f>'Data Sheet'!D46</f>
        <v>54.1</v>
      </c>
      <c r="E9" s="6">
        <f>'Data Sheet'!E46</f>
        <v>55.38</v>
      </c>
      <c r="F9" s="6">
        <f>'Data Sheet'!F46</f>
        <v>63.01</v>
      </c>
      <c r="G9" s="6">
        <f>'Data Sheet'!G46</f>
        <v>55.84</v>
      </c>
      <c r="H9" s="6">
        <f>'Data Sheet'!H46</f>
        <v>52.79</v>
      </c>
      <c r="I9" s="6">
        <f>'Data Sheet'!I46</f>
        <v>44.5</v>
      </c>
      <c r="J9" s="6">
        <f>'Data Sheet'!J46</f>
        <v>43.87</v>
      </c>
      <c r="K9" s="6">
        <f>'Data Sheet'!K46</f>
        <v>47.94</v>
      </c>
    </row>
    <row r="10" spans="1:11" x14ac:dyDescent="0.3">
      <c r="A10" t="s">
        <v>12</v>
      </c>
      <c r="B10" s="6">
        <f>'Data Sheet'!B47</f>
        <v>1650.94</v>
      </c>
      <c r="C10" s="6">
        <f>'Data Sheet'!C47</f>
        <v>1967.78</v>
      </c>
      <c r="D10" s="6">
        <f>'Data Sheet'!D47</f>
        <v>1624.09</v>
      </c>
      <c r="E10" s="6">
        <f>'Data Sheet'!E47</f>
        <v>1603.62</v>
      </c>
      <c r="F10" s="6">
        <f>'Data Sheet'!F47</f>
        <v>959.04</v>
      </c>
      <c r="G10" s="6">
        <f>'Data Sheet'!G47</f>
        <v>1518.16</v>
      </c>
      <c r="H10" s="6">
        <f>'Data Sheet'!H47</f>
        <v>1022.25</v>
      </c>
      <c r="I10" s="6">
        <f>'Data Sheet'!I47</f>
        <v>1508.71</v>
      </c>
      <c r="J10" s="6">
        <f>'Data Sheet'!J47</f>
        <v>1391.52</v>
      </c>
      <c r="K10" s="6">
        <f>'Data Sheet'!K47</f>
        <v>1489.09</v>
      </c>
    </row>
    <row r="11" spans="1:11" x14ac:dyDescent="0.3">
      <c r="A11" t="s">
        <v>13</v>
      </c>
      <c r="B11" s="6">
        <f>'Data Sheet'!B48</f>
        <v>418.55</v>
      </c>
      <c r="C11" s="6">
        <f>'Data Sheet'!C48</f>
        <v>492.62</v>
      </c>
      <c r="D11" s="6">
        <f>'Data Sheet'!D48</f>
        <v>348.79</v>
      </c>
      <c r="E11" s="6">
        <f>'Data Sheet'!E48</f>
        <v>416.83</v>
      </c>
      <c r="F11" s="6">
        <f>'Data Sheet'!F48</f>
        <v>265.38</v>
      </c>
      <c r="G11" s="6">
        <f>'Data Sheet'!G48</f>
        <v>389.73</v>
      </c>
      <c r="H11" s="6">
        <f>'Data Sheet'!H48</f>
        <v>321.42</v>
      </c>
      <c r="I11" s="6">
        <f>'Data Sheet'!I48</f>
        <v>391.66</v>
      </c>
      <c r="J11" s="6">
        <f>'Data Sheet'!J48</f>
        <v>373.29</v>
      </c>
      <c r="K11" s="6">
        <f>'Data Sheet'!K48</f>
        <v>415.17</v>
      </c>
    </row>
    <row r="12" spans="1:11" s="2" customFormat="1" x14ac:dyDescent="0.3">
      <c r="A12" s="2" t="s">
        <v>14</v>
      </c>
      <c r="B12" s="1">
        <f>'Data Sheet'!B49</f>
        <v>1205.42</v>
      </c>
      <c r="C12" s="1">
        <f>'Data Sheet'!C49</f>
        <v>1447.72</v>
      </c>
      <c r="D12" s="1">
        <f>'Data Sheet'!D49</f>
        <v>1256.72</v>
      </c>
      <c r="E12" s="1">
        <f>'Data Sheet'!E49</f>
        <v>1169.98</v>
      </c>
      <c r="F12" s="1">
        <f>'Data Sheet'!F49</f>
        <v>694.64</v>
      </c>
      <c r="G12" s="1">
        <f>'Data Sheet'!G49</f>
        <v>1110.48</v>
      </c>
      <c r="H12" s="1">
        <f>'Data Sheet'!H49</f>
        <v>692.13</v>
      </c>
      <c r="I12" s="1">
        <f>'Data Sheet'!I49</f>
        <v>1099.77</v>
      </c>
      <c r="J12" s="1">
        <f>'Data Sheet'!J49</f>
        <v>993.59</v>
      </c>
      <c r="K12" s="1">
        <f>'Data Sheet'!K49</f>
        <v>1059.8699999999999</v>
      </c>
    </row>
    <row r="14" spans="1:11" s="2" customFormat="1" x14ac:dyDescent="0.3">
      <c r="A14" s="2" t="s">
        <v>18</v>
      </c>
      <c r="B14" s="10">
        <f>IF(B4&gt;0,B6/B4,"")</f>
        <v>0.20241974766971318</v>
      </c>
      <c r="C14" s="10">
        <f t="shared" ref="C14:K14" si="0">IF(C4&gt;0,C6/C4,"")</f>
        <v>0.22586726045771272</v>
      </c>
      <c r="D14" s="10">
        <f t="shared" si="0"/>
        <v>0.19372540305769484</v>
      </c>
      <c r="E14" s="10">
        <f t="shared" si="0"/>
        <v>0.18883177085597894</v>
      </c>
      <c r="F14" s="10">
        <f t="shared" si="0"/>
        <v>0.15440720320297377</v>
      </c>
      <c r="G14" s="10">
        <f t="shared" si="0"/>
        <v>0.19144294831006475</v>
      </c>
      <c r="H14" s="10">
        <f t="shared" si="0"/>
        <v>0.17181666030618825</v>
      </c>
      <c r="I14" s="10">
        <f t="shared" si="0"/>
        <v>0.18179346762058726</v>
      </c>
      <c r="J14" s="10">
        <f t="shared" si="0"/>
        <v>0.17621995318399253</v>
      </c>
      <c r="K14" s="10">
        <f t="shared" si="0"/>
        <v>0.20085214649341041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J5" sqref="J5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ASIAN PAINTS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95.92</v>
      </c>
      <c r="C4" s="14">
        <f>'Data Sheet'!C57</f>
        <v>95.92</v>
      </c>
      <c r="D4" s="14">
        <f>'Data Sheet'!D57</f>
        <v>95.92</v>
      </c>
      <c r="E4" s="14">
        <f>'Data Sheet'!E57</f>
        <v>95.92</v>
      </c>
      <c r="F4" s="14">
        <f>'Data Sheet'!F57</f>
        <v>95.92</v>
      </c>
      <c r="G4" s="14">
        <f>'Data Sheet'!G57</f>
        <v>95.92</v>
      </c>
      <c r="H4" s="14">
        <f>'Data Sheet'!H57</f>
        <v>95.92</v>
      </c>
      <c r="I4" s="14">
        <f>'Data Sheet'!I57</f>
        <v>95.92</v>
      </c>
      <c r="J4" s="14">
        <f>'Data Sheet'!J57</f>
        <v>95.92</v>
      </c>
      <c r="K4" s="14">
        <f>'Data Sheet'!K57</f>
        <v>95.92</v>
      </c>
    </row>
    <row r="5" spans="1:11" x14ac:dyDescent="0.3">
      <c r="A5" t="s">
        <v>25</v>
      </c>
      <c r="B5" s="14">
        <f>'Data Sheet'!B58</f>
        <v>6428.9</v>
      </c>
      <c r="C5" s="14">
        <f>'Data Sheet'!C58</f>
        <v>7507.97</v>
      </c>
      <c r="D5" s="14">
        <f>'Data Sheet'!D58</f>
        <v>8314.31</v>
      </c>
      <c r="E5" s="14">
        <f>'Data Sheet'!E58</f>
        <v>9374.6299999999992</v>
      </c>
      <c r="F5" s="14">
        <f>'Data Sheet'!F58</f>
        <v>10034.24</v>
      </c>
      <c r="G5" s="14">
        <f>'Data Sheet'!G58</f>
        <v>12710.37</v>
      </c>
      <c r="H5" s="14">
        <f>'Data Sheet'!H58</f>
        <v>13715.64</v>
      </c>
      <c r="I5" s="14">
        <f>'Data Sheet'!I58</f>
        <v>15896.31</v>
      </c>
      <c r="J5" s="14">
        <f>'Data Sheet'!J58</f>
        <v>18632.38</v>
      </c>
      <c r="K5" s="14">
        <f>'Data Sheet'!K58</f>
        <v>19303.89</v>
      </c>
    </row>
    <row r="6" spans="1:11" x14ac:dyDescent="0.3">
      <c r="A6" t="s">
        <v>71</v>
      </c>
      <c r="B6" s="14">
        <f>'Data Sheet'!B59</f>
        <v>323.29000000000002</v>
      </c>
      <c r="C6" s="14">
        <f>'Data Sheet'!C59</f>
        <v>560.34</v>
      </c>
      <c r="D6" s="14">
        <f>'Data Sheet'!D59</f>
        <v>533.42999999999995</v>
      </c>
      <c r="E6" s="14">
        <f>'Data Sheet'!E59</f>
        <v>1319.6</v>
      </c>
      <c r="F6" s="14">
        <f>'Data Sheet'!F59</f>
        <v>1118.5</v>
      </c>
      <c r="G6" s="14">
        <f>'Data Sheet'!G59</f>
        <v>1093.1199999999999</v>
      </c>
      <c r="H6" s="14">
        <f>'Data Sheet'!H59</f>
        <v>1586.88</v>
      </c>
      <c r="I6" s="14">
        <f>'Data Sheet'!I59</f>
        <v>1932.62</v>
      </c>
      <c r="J6" s="14">
        <f>'Data Sheet'!J59</f>
        <v>2474.38</v>
      </c>
      <c r="K6" s="14">
        <f>'Data Sheet'!K59</f>
        <v>2290.29</v>
      </c>
    </row>
    <row r="7" spans="1:11" x14ac:dyDescent="0.3">
      <c r="A7" t="s">
        <v>72</v>
      </c>
      <c r="B7" s="14">
        <f>'Data Sheet'!B60</f>
        <v>3710.92</v>
      </c>
      <c r="C7" s="14">
        <f>'Data Sheet'!C60</f>
        <v>4240.96</v>
      </c>
      <c r="D7" s="14">
        <f>'Data Sheet'!D60</f>
        <v>4819.82</v>
      </c>
      <c r="E7" s="14">
        <f>'Data Sheet'!E60</f>
        <v>5458.69</v>
      </c>
      <c r="F7" s="14">
        <f>'Data Sheet'!F60</f>
        <v>4889.3100000000004</v>
      </c>
      <c r="G7" s="14">
        <f>'Data Sheet'!G60</f>
        <v>6455.93</v>
      </c>
      <c r="H7" s="14">
        <f>'Data Sheet'!H60</f>
        <v>7559.99</v>
      </c>
      <c r="I7" s="14">
        <f>'Data Sheet'!I60</f>
        <v>7854.48</v>
      </c>
      <c r="J7" s="14">
        <f>'Data Sheet'!J60</f>
        <v>8698.09</v>
      </c>
      <c r="K7" s="14">
        <f>'Data Sheet'!K60</f>
        <v>8665.15</v>
      </c>
    </row>
    <row r="8" spans="1:11" s="2" customFormat="1" x14ac:dyDescent="0.3">
      <c r="A8" s="2" t="s">
        <v>26</v>
      </c>
      <c r="B8" s="15">
        <f>'Data Sheet'!B61</f>
        <v>10559.03</v>
      </c>
      <c r="C8" s="15">
        <f>'Data Sheet'!C61</f>
        <v>12405.19</v>
      </c>
      <c r="D8" s="15">
        <f>'Data Sheet'!D61</f>
        <v>13763.48</v>
      </c>
      <c r="E8" s="15">
        <f>'Data Sheet'!E61</f>
        <v>16248.84</v>
      </c>
      <c r="F8" s="15">
        <f>'Data Sheet'!F61</f>
        <v>16137.97</v>
      </c>
      <c r="G8" s="15">
        <f>'Data Sheet'!G61</f>
        <v>20355.34</v>
      </c>
      <c r="H8" s="15">
        <f>'Data Sheet'!H61</f>
        <v>22958.43</v>
      </c>
      <c r="I8" s="15">
        <f>'Data Sheet'!I61</f>
        <v>25779.33</v>
      </c>
      <c r="J8" s="15">
        <f>'Data Sheet'!J61</f>
        <v>29900.77</v>
      </c>
      <c r="K8" s="15">
        <f>'Data Sheet'!K61</f>
        <v>30355.25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3416.35</v>
      </c>
      <c r="C10" s="14">
        <f>'Data Sheet'!C62</f>
        <v>3303.74</v>
      </c>
      <c r="D10" s="14">
        <f>'Data Sheet'!D62</f>
        <v>3732.24</v>
      </c>
      <c r="E10" s="14">
        <f>'Data Sheet'!E62</f>
        <v>6496.56</v>
      </c>
      <c r="F10" s="14">
        <f>'Data Sheet'!F62</f>
        <v>6272.31</v>
      </c>
      <c r="G10" s="14">
        <f>'Data Sheet'!G62</f>
        <v>5858.52</v>
      </c>
      <c r="H10" s="14">
        <f>'Data Sheet'!H62</f>
        <v>5519.06</v>
      </c>
      <c r="I10" s="14">
        <f>'Data Sheet'!I62</f>
        <v>5770.46</v>
      </c>
      <c r="J10" s="14">
        <f>'Data Sheet'!J62</f>
        <v>7146.62</v>
      </c>
      <c r="K10" s="14">
        <f>'Data Sheet'!K62</f>
        <v>9220.1</v>
      </c>
    </row>
    <row r="11" spans="1:11" x14ac:dyDescent="0.3">
      <c r="A11" t="s">
        <v>28</v>
      </c>
      <c r="B11" s="14">
        <f>'Data Sheet'!B63</f>
        <v>106.59</v>
      </c>
      <c r="C11" s="14">
        <f>'Data Sheet'!C63</f>
        <v>257.54000000000002</v>
      </c>
      <c r="D11" s="14">
        <f>'Data Sheet'!D63</f>
        <v>1405.11</v>
      </c>
      <c r="E11" s="14">
        <f>'Data Sheet'!E63</f>
        <v>209.67</v>
      </c>
      <c r="F11" s="14">
        <f>'Data Sheet'!F63</f>
        <v>140.24</v>
      </c>
      <c r="G11" s="14">
        <f>'Data Sheet'!G63</f>
        <v>182.98</v>
      </c>
      <c r="H11" s="14">
        <f>'Data Sheet'!H63</f>
        <v>426.43</v>
      </c>
      <c r="I11" s="14">
        <f>'Data Sheet'!I63</f>
        <v>1019.59</v>
      </c>
      <c r="J11" s="14">
        <f>'Data Sheet'!J63</f>
        <v>2698.37</v>
      </c>
      <c r="K11" s="14">
        <f>'Data Sheet'!K63</f>
        <v>1254.49</v>
      </c>
    </row>
    <row r="12" spans="1:11" x14ac:dyDescent="0.3">
      <c r="A12" t="s">
        <v>29</v>
      </c>
      <c r="B12" s="14">
        <f>'Data Sheet'!B64</f>
        <v>2712.13</v>
      </c>
      <c r="C12" s="14">
        <f>'Data Sheet'!C64</f>
        <v>2651.99</v>
      </c>
      <c r="D12" s="14">
        <f>'Data Sheet'!D64</f>
        <v>2140.6999999999998</v>
      </c>
      <c r="E12" s="14">
        <f>'Data Sheet'!E64</f>
        <v>2568.58</v>
      </c>
      <c r="F12" s="14">
        <f>'Data Sheet'!F64</f>
        <v>2018.85</v>
      </c>
      <c r="G12" s="14">
        <f>'Data Sheet'!G64</f>
        <v>4736.8</v>
      </c>
      <c r="H12" s="14">
        <f>'Data Sheet'!H64</f>
        <v>3247.53</v>
      </c>
      <c r="I12" s="14">
        <f>'Data Sheet'!I64</f>
        <v>4261.71</v>
      </c>
      <c r="J12" s="14">
        <f>'Data Sheet'!J64</f>
        <v>4587.92</v>
      </c>
      <c r="K12" s="14">
        <f>'Data Sheet'!K64</f>
        <v>4724.75</v>
      </c>
    </row>
    <row r="13" spans="1:11" x14ac:dyDescent="0.3">
      <c r="A13" t="s">
        <v>73</v>
      </c>
      <c r="B13" s="14">
        <f>'Data Sheet'!B65</f>
        <v>4323.96</v>
      </c>
      <c r="C13" s="14">
        <f>'Data Sheet'!C65</f>
        <v>6191.92</v>
      </c>
      <c r="D13" s="14">
        <f>'Data Sheet'!D65</f>
        <v>6485.43</v>
      </c>
      <c r="E13" s="14">
        <f>'Data Sheet'!E65</f>
        <v>6974.03</v>
      </c>
      <c r="F13" s="14">
        <f>'Data Sheet'!F65</f>
        <v>7706.57</v>
      </c>
      <c r="G13" s="14">
        <f>'Data Sheet'!G65</f>
        <v>9577.0400000000009</v>
      </c>
      <c r="H13" s="14">
        <f>'Data Sheet'!H65</f>
        <v>13765.41</v>
      </c>
      <c r="I13" s="14">
        <f>'Data Sheet'!I65</f>
        <v>14727.57</v>
      </c>
      <c r="J13" s="14">
        <f>'Data Sheet'!J65</f>
        <v>15467.86</v>
      </c>
      <c r="K13" s="14">
        <f>'Data Sheet'!K65</f>
        <v>15155.91</v>
      </c>
    </row>
    <row r="14" spans="1:11" s="2" customFormat="1" x14ac:dyDescent="0.3">
      <c r="A14" s="2" t="s">
        <v>26</v>
      </c>
      <c r="B14" s="14">
        <f>'Data Sheet'!B66</f>
        <v>10559.03</v>
      </c>
      <c r="C14" s="14">
        <f>'Data Sheet'!C66</f>
        <v>12405.19</v>
      </c>
      <c r="D14" s="14">
        <f>'Data Sheet'!D66</f>
        <v>13763.48</v>
      </c>
      <c r="E14" s="14">
        <f>'Data Sheet'!E66</f>
        <v>16248.84</v>
      </c>
      <c r="F14" s="14">
        <f>'Data Sheet'!F66</f>
        <v>16137.97</v>
      </c>
      <c r="G14" s="14">
        <f>'Data Sheet'!G66</f>
        <v>20355.34</v>
      </c>
      <c r="H14" s="14">
        <f>'Data Sheet'!H66</f>
        <v>22958.43</v>
      </c>
      <c r="I14" s="14">
        <f>'Data Sheet'!I66</f>
        <v>25779.33</v>
      </c>
      <c r="J14" s="14">
        <f>'Data Sheet'!J66</f>
        <v>29900.77</v>
      </c>
      <c r="K14" s="14">
        <f>'Data Sheet'!K66</f>
        <v>30355.25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613.04</v>
      </c>
      <c r="C16" s="4">
        <f t="shared" ref="C16:K16" si="0">C13-C7</f>
        <v>1950.96</v>
      </c>
      <c r="D16" s="4">
        <f t="shared" si="0"/>
        <v>1665.6100000000006</v>
      </c>
      <c r="E16" s="4">
        <f t="shared" si="0"/>
        <v>1515.3400000000001</v>
      </c>
      <c r="F16" s="4">
        <f t="shared" si="0"/>
        <v>2817.2599999999993</v>
      </c>
      <c r="G16" s="4">
        <f t="shared" si="0"/>
        <v>3121.1100000000006</v>
      </c>
      <c r="H16" s="4">
        <f t="shared" si="0"/>
        <v>6205.42</v>
      </c>
      <c r="I16" s="4">
        <f t="shared" si="0"/>
        <v>6873.09</v>
      </c>
      <c r="J16" s="4">
        <f t="shared" si="0"/>
        <v>6769.77</v>
      </c>
      <c r="K16" s="4">
        <f t="shared" si="0"/>
        <v>6490.76</v>
      </c>
    </row>
    <row r="17" spans="1:11" x14ac:dyDescent="0.3">
      <c r="A17" t="s">
        <v>44</v>
      </c>
      <c r="B17" s="4">
        <f>'Data Sheet'!B67</f>
        <v>1186.8399999999999</v>
      </c>
      <c r="C17" s="4">
        <f>'Data Sheet'!C67</f>
        <v>1446.6</v>
      </c>
      <c r="D17" s="4">
        <f>'Data Sheet'!D67</f>
        <v>1730.63</v>
      </c>
      <c r="E17" s="4">
        <f>'Data Sheet'!E67</f>
        <v>1907.33</v>
      </c>
      <c r="F17" s="4">
        <f>'Data Sheet'!F67</f>
        <v>1795.22</v>
      </c>
      <c r="G17" s="4">
        <f>'Data Sheet'!G67</f>
        <v>2602.17</v>
      </c>
      <c r="H17" s="4">
        <f>'Data Sheet'!H67</f>
        <v>3871.44</v>
      </c>
      <c r="I17" s="4">
        <f>'Data Sheet'!I67</f>
        <v>4636.9399999999996</v>
      </c>
      <c r="J17" s="4">
        <f>'Data Sheet'!J67</f>
        <v>4889.05</v>
      </c>
      <c r="K17" s="4">
        <f>'Data Sheet'!K67</f>
        <v>4313.6499999999996</v>
      </c>
    </row>
    <row r="18" spans="1:11" x14ac:dyDescent="0.3">
      <c r="A18" t="s">
        <v>45</v>
      </c>
      <c r="B18" s="4">
        <f>'Data Sheet'!B68</f>
        <v>1998.24</v>
      </c>
      <c r="C18" s="4">
        <f>'Data Sheet'!C68</f>
        <v>2626.94</v>
      </c>
      <c r="D18" s="4">
        <f>'Data Sheet'!D68</f>
        <v>2658.31</v>
      </c>
      <c r="E18" s="4">
        <f>'Data Sheet'!E68</f>
        <v>3149.86</v>
      </c>
      <c r="F18" s="4">
        <f>'Data Sheet'!F68</f>
        <v>3389.81</v>
      </c>
      <c r="G18" s="4">
        <f>'Data Sheet'!G68</f>
        <v>3798.6</v>
      </c>
      <c r="H18" s="4">
        <f>'Data Sheet'!H68</f>
        <v>6152.98</v>
      </c>
      <c r="I18" s="4">
        <f>'Data Sheet'!I68</f>
        <v>6210.64</v>
      </c>
      <c r="J18" s="4">
        <f>'Data Sheet'!J68</f>
        <v>5923.41</v>
      </c>
      <c r="K18" s="4">
        <f>'Data Sheet'!K68</f>
        <v>6719.27</v>
      </c>
    </row>
    <row r="20" spans="1:11" x14ac:dyDescent="0.3">
      <c r="A20" t="s">
        <v>46</v>
      </c>
      <c r="B20" s="4">
        <f>IF('Profit &amp; Loss'!B4&gt;0,'Balance Sheet'!B17/('Profit &amp; Loss'!B4/365),0)</f>
        <v>30.353985463325831</v>
      </c>
      <c r="C20" s="4">
        <f>IF('Profit &amp; Loss'!C4&gt;0,'Balance Sheet'!C17/('Profit &amp; Loss'!C4/365),0)</f>
        <v>35.05572636816251</v>
      </c>
      <c r="D20" s="4">
        <f>IF('Profit &amp; Loss'!D4&gt;0,'Balance Sheet'!D17/('Profit &amp; Loss'!D4/365),0)</f>
        <v>37.545131964896541</v>
      </c>
      <c r="E20" s="4">
        <f>IF('Profit &amp; Loss'!E4&gt;0,'Balance Sheet'!E17/('Profit &amp; Loss'!E4/365),0)</f>
        <v>36.18351071432469</v>
      </c>
      <c r="F20" s="4">
        <f>IF('Profit &amp; Loss'!F4&gt;0,'Balance Sheet'!F17/('Profit &amp; Loss'!F4/365),0)</f>
        <v>32.420325313872226</v>
      </c>
      <c r="G20" s="4">
        <f>IF('Profit &amp; Loss'!G4&gt;0,'Balance Sheet'!G17/('Profit &amp; Loss'!G4/365),0)</f>
        <v>43.743436472235949</v>
      </c>
      <c r="H20" s="4">
        <f>IF('Profit &amp; Loss'!H4&gt;0,'Balance Sheet'!H17/('Profit &amp; Loss'!H4/365),0)</f>
        <v>48.557163121347244</v>
      </c>
      <c r="I20" s="4">
        <f>IF('Profit &amp; Loss'!I4&gt;0,'Balance Sheet'!I17/('Profit &amp; Loss'!I4/365),0)</f>
        <v>49.073711044725222</v>
      </c>
      <c r="J20" s="4">
        <f>IF('Profit &amp; Loss'!J4&gt;0,'Balance Sheet'!J17/('Profit &amp; Loss'!J4/365),0)</f>
        <v>50.275160566089667</v>
      </c>
      <c r="K20" s="4">
        <f>IF('Profit &amp; Loss'!K4&gt;0,'Balance Sheet'!K17/('Profit &amp; Loss'!K4/365),0)</f>
        <v>46.437205690384069</v>
      </c>
    </row>
    <row r="21" spans="1:11" x14ac:dyDescent="0.3">
      <c r="A21" t="s">
        <v>47</v>
      </c>
      <c r="B21" s="4">
        <f>IF('Balance Sheet'!B18&gt;0,'Profit &amp; Loss'!B4/'Balance Sheet'!B18,0)</f>
        <v>7.142029986388021</v>
      </c>
      <c r="C21" s="4">
        <f>IF('Balance Sheet'!C18&gt;0,'Profit &amp; Loss'!C4/'Balance Sheet'!C18,0)</f>
        <v>5.7336635020213631</v>
      </c>
      <c r="D21" s="4">
        <f>IF('Balance Sheet'!D18&gt;0,'Profit &amp; Loss'!D4/'Balance Sheet'!D18,0)</f>
        <v>6.3290398787199385</v>
      </c>
      <c r="E21" s="4">
        <f>IF('Balance Sheet'!E18&gt;0,'Profit &amp; Loss'!E4/'Balance Sheet'!E18,0)</f>
        <v>6.1082492555224679</v>
      </c>
      <c r="F21" s="4">
        <f>IF('Balance Sheet'!F18&gt;0,'Profit &amp; Loss'!F4/'Balance Sheet'!F18,0)</f>
        <v>5.9623548222466747</v>
      </c>
      <c r="G21" s="4">
        <f>IF('Balance Sheet'!G18&gt;0,'Profit &amp; Loss'!G4/'Balance Sheet'!G18,0)</f>
        <v>5.7159979992628864</v>
      </c>
      <c r="H21" s="4">
        <f>IF('Balance Sheet'!H18&gt;0,'Profit &amp; Loss'!H4/'Balance Sheet'!H18,0)</f>
        <v>4.7296236945350056</v>
      </c>
      <c r="I21" s="4">
        <f>IF('Balance Sheet'!I18&gt;0,'Profit &amp; Loss'!I4/'Balance Sheet'!I18,0)</f>
        <v>5.5531458915667296</v>
      </c>
      <c r="J21" s="4">
        <f>IF('Balance Sheet'!J18&gt;0,'Profit &amp; Loss'!J4/'Balance Sheet'!J18,0)</f>
        <v>5.9922797847861293</v>
      </c>
      <c r="K21" s="4">
        <f>IF('Balance Sheet'!K18&gt;0,'Profit &amp; Loss'!K4/'Balance Sheet'!K18,0)</f>
        <v>5.0460273214203326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0.26746484960504657</v>
      </c>
      <c r="C23" s="10">
        <f>IF(SUM('Balance Sheet'!C4:C5)&gt;0,'Profit &amp; Loss'!C12/SUM('Balance Sheet'!C4:C5),"")</f>
        <v>0.25505760867135113</v>
      </c>
      <c r="D23" s="10">
        <f>IF(SUM('Balance Sheet'!D4:D5)&gt;0,'Profit &amp; Loss'!D12/SUM('Balance Sheet'!D4:D5),"")</f>
        <v>0.24243451130349589</v>
      </c>
      <c r="E23" s="10">
        <f>IF(SUM('Balance Sheet'!E4:E5)&gt;0,'Profit &amp; Loss'!E12/SUM('Balance Sheet'!E4:E5),"")</f>
        <v>0.22764464577030905</v>
      </c>
      <c r="F23" s="10">
        <f>IF(SUM('Balance Sheet'!F4:F5)&gt;0,'Profit &amp; Loss'!F12/SUM('Balance Sheet'!F4:F5),"")</f>
        <v>0.26704119184692049</v>
      </c>
      <c r="G23" s="10">
        <f>IF(SUM('Balance Sheet'!G4:G5)&gt;0,'Profit &amp; Loss'!G12/SUM('Balance Sheet'!G4:G5),"")</f>
        <v>0.24513656960759125</v>
      </c>
      <c r="H23" s="10">
        <f>IF(SUM('Balance Sheet'!H4:H5)&gt;0,'Profit &amp; Loss'!H12/SUM('Balance Sheet'!H4:H5),"")</f>
        <v>0.21942271546443706</v>
      </c>
      <c r="I23" s="10">
        <f>IF(SUM('Balance Sheet'!I4:I5)&gt;0,'Profit &amp; Loss'!I12/SUM('Balance Sheet'!I4:I5),"")</f>
        <v>0.25677782273016331</v>
      </c>
      <c r="J23" s="10">
        <f>IF(SUM('Balance Sheet'!J4:J5)&gt;0,'Profit &amp; Loss'!J12/SUM('Balance Sheet'!J4:J5),"")</f>
        <v>0.29154968683756666</v>
      </c>
      <c r="K23" s="10">
        <f>IF(SUM('Balance Sheet'!K4:K5)&gt;0,'Profit &amp; Loss'!K12/SUM('Balance Sheet'!K4:K5),"")</f>
        <v>0.18903432559391048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0.3992542135336663</v>
      </c>
      <c r="D24" s="10">
        <f>IF((C4+C5+C6+D4+D5+D6)&gt;0,('Profit &amp; Loss'!D10+'Profit &amp; Loss'!D9)*2/(C4+C5+C6+D4+D5+D6),"")</f>
        <v>0.37175244872395136</v>
      </c>
      <c r="E24" s="10">
        <f>IF((D4+D5+D6+E4+E5+E6)&gt;0,('Profit &amp; Loss'!E10+'Profit &amp; Loss'!E9)*2/(D4+D5+D6+E4+E5+E6),"")</f>
        <v>0.34626562230000191</v>
      </c>
      <c r="F24" s="10">
        <f>IF((E4+E5+E6+F4+F5+F6)&gt;0,('Profit &amp; Loss'!F10+'Profit &amp; Loss'!F9)*2/(E4+E5+E6+F4+F5+F6),"")</f>
        <v>0.33912811081905059</v>
      </c>
      <c r="G24" s="10">
        <f>IF((F4+F5+F6+G4+G5+G6)&gt;0,('Profit &amp; Loss'!G10+'Profit &amp; Loss'!G9)*2/(F4+F5+F6+G4+G5+G6),"")</f>
        <v>0.34960774325823019</v>
      </c>
      <c r="H24" s="10">
        <f>IF((G4+G5+G6+H4+H5+H6)&gt;0,('Profit &amp; Loss'!H10+'Profit &amp; Loss'!H9)*2/(G4+G5+G6+H4+H5+H6),"")</f>
        <v>0.29238527741796749</v>
      </c>
      <c r="I24" s="10">
        <f>IF((H4+H5+H6+I4+I5+I6)&gt;0,('Profit &amp; Loss'!I10+'Profit &amp; Loss'!I9)*2/(H4+H5+H6+I4+I5+I6),"")</f>
        <v>0.35010228581871716</v>
      </c>
      <c r="J24" s="10">
        <f>IF((I4+I5+I6+J4+J5+J6)&gt;0,('Profit &amp; Loss'!J10+'Profit &amp; Loss'!J9)*2/(I4+I5+I6+J4+J5+J6),"")</f>
        <v>0.38606781465633033</v>
      </c>
      <c r="K24" s="10">
        <f>IF((J4+J5+J6+K4+K5+K6)&gt;0,('Profit &amp; Loss'!K10+'Profit &amp; Loss'!K9)*2/(J4+J5+J6+K4+K5+K6),"")</f>
        <v>0.24853087162921128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ASIAN PAINTS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2242.9499999999998</v>
      </c>
      <c r="C4" s="1">
        <f>'Data Sheet'!C82</f>
        <v>1527.33</v>
      </c>
      <c r="D4" s="1">
        <f>'Data Sheet'!D82</f>
        <v>2113.44</v>
      </c>
      <c r="E4" s="1">
        <f>'Data Sheet'!E82</f>
        <v>2469.54</v>
      </c>
      <c r="F4" s="1">
        <f>'Data Sheet'!F82</f>
        <v>2631.89</v>
      </c>
      <c r="G4" s="1">
        <f>'Data Sheet'!G82</f>
        <v>3683.35</v>
      </c>
      <c r="H4" s="1">
        <f>'Data Sheet'!H82</f>
        <v>986.49</v>
      </c>
      <c r="I4" s="1">
        <f>'Data Sheet'!I82</f>
        <v>4193.43</v>
      </c>
      <c r="J4" s="1">
        <f>'Data Sheet'!J82</f>
        <v>6103.6</v>
      </c>
      <c r="K4" s="1">
        <f>'Data Sheet'!K82</f>
        <v>4423.96</v>
      </c>
    </row>
    <row r="5" spans="1:11" x14ac:dyDescent="0.3">
      <c r="A5" t="s">
        <v>33</v>
      </c>
      <c r="B5" s="6">
        <f>'Data Sheet'!B83</f>
        <v>-866.21</v>
      </c>
      <c r="C5" s="6">
        <f>'Data Sheet'!C83</f>
        <v>-681.11</v>
      </c>
      <c r="D5" s="6">
        <f>'Data Sheet'!D83</f>
        <v>-1556.14</v>
      </c>
      <c r="E5" s="6">
        <f>'Data Sheet'!E83</f>
        <v>-917.79</v>
      </c>
      <c r="F5" s="6">
        <f>'Data Sheet'!F83</f>
        <v>-517.91</v>
      </c>
      <c r="G5" s="6">
        <f>'Data Sheet'!G83</f>
        <v>-540.54</v>
      </c>
      <c r="H5" s="6">
        <f>'Data Sheet'!H83</f>
        <v>-316.75</v>
      </c>
      <c r="I5" s="6">
        <f>'Data Sheet'!I83</f>
        <v>-1282.3399999999999</v>
      </c>
      <c r="J5" s="6">
        <f>'Data Sheet'!J83</f>
        <v>-2548.48</v>
      </c>
      <c r="K5" s="6">
        <f>'Data Sheet'!K83</f>
        <v>-940.91</v>
      </c>
    </row>
    <row r="6" spans="1:11" x14ac:dyDescent="0.3">
      <c r="A6" t="s">
        <v>34</v>
      </c>
      <c r="B6" s="6">
        <f>'Data Sheet'!B84</f>
        <v>-848.98</v>
      </c>
      <c r="C6" s="6">
        <f>'Data Sheet'!C84</f>
        <v>-756.43</v>
      </c>
      <c r="D6" s="6">
        <f>'Data Sheet'!D84</f>
        <v>-1379.14</v>
      </c>
      <c r="E6" s="6">
        <f>'Data Sheet'!E84</f>
        <v>-1117.46</v>
      </c>
      <c r="F6" s="6">
        <f>'Data Sheet'!F84</f>
        <v>-2465.1999999999998</v>
      </c>
      <c r="G6" s="6">
        <f>'Data Sheet'!G84</f>
        <v>-650.4</v>
      </c>
      <c r="H6" s="6">
        <f>'Data Sheet'!H84</f>
        <v>-1807.61</v>
      </c>
      <c r="I6" s="6">
        <f>'Data Sheet'!I84</f>
        <v>-2140.0500000000002</v>
      </c>
      <c r="J6" s="6">
        <f>'Data Sheet'!J84</f>
        <v>-2982.5</v>
      </c>
      <c r="K6" s="6">
        <f>'Data Sheet'!K84</f>
        <v>-3752.58</v>
      </c>
    </row>
    <row r="7" spans="1:11" s="2" customFormat="1" x14ac:dyDescent="0.3">
      <c r="A7" s="2" t="s">
        <v>35</v>
      </c>
      <c r="B7" s="1">
        <f>'Data Sheet'!B85</f>
        <v>527.76</v>
      </c>
      <c r="C7" s="1">
        <f>'Data Sheet'!C85</f>
        <v>89.79</v>
      </c>
      <c r="D7" s="1">
        <f>'Data Sheet'!D85</f>
        <v>-821.84</v>
      </c>
      <c r="E7" s="1">
        <f>'Data Sheet'!E85</f>
        <v>434.29</v>
      </c>
      <c r="F7" s="1">
        <f>'Data Sheet'!F85</f>
        <v>-351.22</v>
      </c>
      <c r="G7" s="1">
        <f>'Data Sheet'!G85</f>
        <v>2492.41</v>
      </c>
      <c r="H7" s="1">
        <f>'Data Sheet'!H85</f>
        <v>-1137.8699999999999</v>
      </c>
      <c r="I7" s="1">
        <f>'Data Sheet'!I85</f>
        <v>771.04</v>
      </c>
      <c r="J7" s="1">
        <f>'Data Sheet'!J85</f>
        <v>572.62</v>
      </c>
      <c r="K7" s="1">
        <f>'Data Sheet'!K85</f>
        <v>-269.52999999999997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11" activePane="bottomRight" state="frozen"/>
      <selection activeCell="C4" sqref="C4"/>
      <selection pane="topRight" activeCell="C4" sqref="C4"/>
      <selection pane="bottomLeft" activeCell="C4" sqref="C4"/>
      <selection pane="bottomRight" activeCell="K30" sqref="K30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33" t="str">
        <f>IF(B2&lt;&gt;B3, "A NEW VERSION OF THE WORKSHEET IS AVAILABLE", "")</f>
        <v/>
      </c>
      <c r="F1" s="33"/>
      <c r="G1" s="33"/>
      <c r="H1" s="33"/>
      <c r="I1" s="33"/>
      <c r="J1" s="33"/>
      <c r="K1" s="33"/>
    </row>
    <row r="2" spans="1:11" x14ac:dyDescent="0.3">
      <c r="A2" s="1" t="s">
        <v>61</v>
      </c>
      <c r="B2" s="4">
        <v>2.1</v>
      </c>
      <c r="E2" s="34" t="s">
        <v>36</v>
      </c>
      <c r="F2" s="34"/>
      <c r="G2" s="34"/>
      <c r="H2" s="34"/>
      <c r="I2" s="34"/>
      <c r="J2" s="34"/>
      <c r="K2" s="34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95.917762559056825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2307.1</v>
      </c>
    </row>
    <row r="9" spans="1:11" x14ac:dyDescent="0.3">
      <c r="A9" s="4" t="s">
        <v>79</v>
      </c>
      <c r="B9">
        <v>221291.87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6" customFormat="1" x14ac:dyDescent="0.3">
      <c r="A18" s="4" t="s">
        <v>80</v>
      </c>
      <c r="B18">
        <v>6569.83</v>
      </c>
      <c r="C18">
        <v>7452.6</v>
      </c>
      <c r="D18">
        <v>8128.17</v>
      </c>
      <c r="E18">
        <v>9974.4</v>
      </c>
      <c r="F18">
        <v>9986.19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6" customFormat="1" x14ac:dyDescent="0.3">
      <c r="A19" s="4" t="s">
        <v>81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6" customFormat="1" x14ac:dyDescent="0.3">
      <c r="A20" s="4" t="s">
        <v>82</v>
      </c>
      <c r="B20">
        <v>114.48</v>
      </c>
      <c r="C20">
        <v>106.02</v>
      </c>
      <c r="D20">
        <v>110.3</v>
      </c>
      <c r="E20">
        <v>119.63</v>
      </c>
      <c r="F20">
        <v>114.93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6" customFormat="1" x14ac:dyDescent="0.3">
      <c r="A21" s="4" t="s">
        <v>83</v>
      </c>
      <c r="B21">
        <v>1535.22</v>
      </c>
      <c r="C21">
        <v>1662.75</v>
      </c>
      <c r="D21">
        <v>1691.68</v>
      </c>
      <c r="E21">
        <v>1862.35</v>
      </c>
      <c r="F21">
        <v>1941.92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6" customFormat="1" x14ac:dyDescent="0.3">
      <c r="A22" s="4" t="s">
        <v>84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6" customFormat="1" x14ac:dyDescent="0.3">
      <c r="A23" s="4" t="s">
        <v>85</v>
      </c>
      <c r="B23">
        <v>3912.3</v>
      </c>
      <c r="C23">
        <v>4364.04</v>
      </c>
      <c r="D23">
        <v>2254.92</v>
      </c>
      <c r="E23">
        <v>2366.87</v>
      </c>
      <c r="F23">
        <v>2623.15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6" customFormat="1" x14ac:dyDescent="0.3">
      <c r="A24" s="4" t="s">
        <v>86</v>
      </c>
      <c r="B24">
        <v>-1779.69</v>
      </c>
      <c r="C24">
        <v>-2028.47</v>
      </c>
      <c r="D24">
        <v>171.45</v>
      </c>
      <c r="E24">
        <v>202.51</v>
      </c>
      <c r="F24">
        <v>245.55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6" customFormat="1" x14ac:dyDescent="0.3">
      <c r="A25" s="6" t="s">
        <v>9</v>
      </c>
      <c r="B25">
        <v>213.39</v>
      </c>
      <c r="C25">
        <v>337.9</v>
      </c>
      <c r="D25">
        <v>336.41</v>
      </c>
      <c r="E25">
        <v>273.77</v>
      </c>
      <c r="F25">
        <v>350.1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6" customFormat="1" x14ac:dyDescent="0.3">
      <c r="A26" s="6" t="s">
        <v>10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6" customFormat="1" x14ac:dyDescent="0.3">
      <c r="A27" s="6" t="s">
        <v>11</v>
      </c>
      <c r="B27">
        <v>49</v>
      </c>
      <c r="C27">
        <v>37.33</v>
      </c>
      <c r="D27">
        <v>41.47</v>
      </c>
      <c r="E27">
        <v>110.47</v>
      </c>
      <c r="F27">
        <v>107.95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6" customFormat="1" x14ac:dyDescent="0.3">
      <c r="A28" s="6" t="s">
        <v>12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6" customFormat="1" x14ac:dyDescent="0.3">
      <c r="A29" s="6" t="s">
        <v>13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6" customFormat="1" x14ac:dyDescent="0.3">
      <c r="A30" s="6" t="s">
        <v>14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6" customFormat="1" x14ac:dyDescent="0.3">
      <c r="A31" s="6" t="s">
        <v>70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8478.57</v>
      </c>
      <c r="C42">
        <v>9103.09</v>
      </c>
      <c r="D42">
        <v>8730.76</v>
      </c>
      <c r="E42">
        <v>8969.73</v>
      </c>
      <c r="F42">
        <v>8027.54</v>
      </c>
      <c r="G42">
        <v>8549.44</v>
      </c>
      <c r="H42">
        <v>8358.91</v>
      </c>
      <c r="I42">
        <v>8938.5499999999993</v>
      </c>
      <c r="J42">
        <v>8531.27</v>
      </c>
      <c r="K42">
        <v>8867.02</v>
      </c>
    </row>
    <row r="43" spans="1:11" s="6" customFormat="1" x14ac:dyDescent="0.3">
      <c r="A43" s="6" t="s">
        <v>7</v>
      </c>
      <c r="B43">
        <v>6762.34</v>
      </c>
      <c r="C43">
        <v>7047</v>
      </c>
      <c r="D43">
        <v>7039.39</v>
      </c>
      <c r="E43">
        <v>7275.96</v>
      </c>
      <c r="F43">
        <v>6788.03</v>
      </c>
      <c r="G43">
        <v>6912.71</v>
      </c>
      <c r="H43">
        <v>6922.71</v>
      </c>
      <c r="I43">
        <v>7313.58</v>
      </c>
      <c r="J43">
        <v>7027.89</v>
      </c>
      <c r="K43">
        <v>7086.06</v>
      </c>
    </row>
    <row r="44" spans="1:11" s="6" customFormat="1" x14ac:dyDescent="0.3">
      <c r="A44" s="6" t="s">
        <v>9</v>
      </c>
      <c r="B44">
        <v>194.33</v>
      </c>
      <c r="C44">
        <v>186.46</v>
      </c>
      <c r="D44">
        <v>212.43</v>
      </c>
      <c r="E44">
        <v>192.93</v>
      </c>
      <c r="F44">
        <v>24.53</v>
      </c>
      <c r="G44">
        <v>192.82</v>
      </c>
      <c r="H44">
        <v>-60.06</v>
      </c>
      <c r="I44">
        <v>229.11</v>
      </c>
      <c r="J44">
        <v>236.94</v>
      </c>
      <c r="K44">
        <v>69.14</v>
      </c>
    </row>
    <row r="45" spans="1:11" s="6" customFormat="1" x14ac:dyDescent="0.3">
      <c r="A45" s="6" t="s">
        <v>10</v>
      </c>
      <c r="B45">
        <v>208.72</v>
      </c>
      <c r="C45">
        <v>220.35</v>
      </c>
      <c r="D45">
        <v>225.61</v>
      </c>
      <c r="E45">
        <v>227.7</v>
      </c>
      <c r="F45">
        <v>241.99</v>
      </c>
      <c r="G45">
        <v>255.55</v>
      </c>
      <c r="H45">
        <v>301.10000000000002</v>
      </c>
      <c r="I45">
        <v>300.87</v>
      </c>
      <c r="J45">
        <v>304.93</v>
      </c>
      <c r="K45">
        <v>313.07</v>
      </c>
    </row>
    <row r="46" spans="1:11" s="6" customFormat="1" x14ac:dyDescent="0.3">
      <c r="A46" s="6" t="s">
        <v>11</v>
      </c>
      <c r="B46">
        <v>50.9</v>
      </c>
      <c r="C46">
        <v>54.42</v>
      </c>
      <c r="D46">
        <v>54.1</v>
      </c>
      <c r="E46">
        <v>55.38</v>
      </c>
      <c r="F46">
        <v>63.01</v>
      </c>
      <c r="G46">
        <v>55.84</v>
      </c>
      <c r="H46">
        <v>52.79</v>
      </c>
      <c r="I46">
        <v>44.5</v>
      </c>
      <c r="J46">
        <v>43.87</v>
      </c>
      <c r="K46">
        <v>47.94</v>
      </c>
    </row>
    <row r="47" spans="1:11" s="6" customFormat="1" x14ac:dyDescent="0.3">
      <c r="A47" s="6" t="s">
        <v>12</v>
      </c>
      <c r="B47">
        <v>1650.94</v>
      </c>
      <c r="C47">
        <v>1967.78</v>
      </c>
      <c r="D47">
        <v>1624.09</v>
      </c>
      <c r="E47">
        <v>1603.62</v>
      </c>
      <c r="F47">
        <v>959.04</v>
      </c>
      <c r="G47">
        <v>1518.16</v>
      </c>
      <c r="H47">
        <v>1022.25</v>
      </c>
      <c r="I47">
        <v>1508.71</v>
      </c>
      <c r="J47">
        <v>1391.52</v>
      </c>
      <c r="K47">
        <v>1489.09</v>
      </c>
    </row>
    <row r="48" spans="1:11" s="6" customFormat="1" x14ac:dyDescent="0.3">
      <c r="A48" s="6" t="s">
        <v>13</v>
      </c>
      <c r="B48">
        <v>418.55</v>
      </c>
      <c r="C48">
        <v>492.62</v>
      </c>
      <c r="D48">
        <v>348.79</v>
      </c>
      <c r="E48">
        <v>416.83</v>
      </c>
      <c r="F48">
        <v>265.38</v>
      </c>
      <c r="G48">
        <v>389.73</v>
      </c>
      <c r="H48">
        <v>321.42</v>
      </c>
      <c r="I48">
        <v>391.66</v>
      </c>
      <c r="J48">
        <v>373.29</v>
      </c>
      <c r="K48">
        <v>415.17</v>
      </c>
    </row>
    <row r="49" spans="1:11" s="6" customFormat="1" x14ac:dyDescent="0.3">
      <c r="A49" s="6" t="s">
        <v>14</v>
      </c>
      <c r="B49">
        <v>1205.42</v>
      </c>
      <c r="C49">
        <v>1447.72</v>
      </c>
      <c r="D49">
        <v>1256.72</v>
      </c>
      <c r="E49">
        <v>1169.98</v>
      </c>
      <c r="F49">
        <v>694.64</v>
      </c>
      <c r="G49">
        <v>1110.48</v>
      </c>
      <c r="H49">
        <v>692.13</v>
      </c>
      <c r="I49">
        <v>1099.77</v>
      </c>
      <c r="J49">
        <v>993.59</v>
      </c>
      <c r="K49">
        <v>1059.8699999999999</v>
      </c>
    </row>
    <row r="50" spans="1:11" x14ac:dyDescent="0.3">
      <c r="A50" s="6" t="s">
        <v>8</v>
      </c>
      <c r="B50">
        <v>1716.23</v>
      </c>
      <c r="C50">
        <v>2056.09</v>
      </c>
      <c r="D50">
        <v>1691.37</v>
      </c>
      <c r="E50">
        <v>1693.77</v>
      </c>
      <c r="F50">
        <v>1239.51</v>
      </c>
      <c r="G50">
        <v>1636.73</v>
      </c>
      <c r="H50">
        <v>1436.2</v>
      </c>
      <c r="I50">
        <v>1624.97</v>
      </c>
      <c r="J50">
        <v>1503.38</v>
      </c>
      <c r="K50">
        <v>1780.96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">
      <c r="A58" s="6" t="s">
        <v>25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3">
      <c r="A59" s="6" t="s">
        <v>71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3">
      <c r="A60" s="6" t="s">
        <v>72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3">
      <c r="A61" s="1" t="s">
        <v>26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3">
      <c r="A62" s="6" t="s">
        <v>27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3">
      <c r="A63" s="6" t="s">
        <v>28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3">
      <c r="A64" s="6" t="s">
        <v>29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3">
      <c r="A65" s="6" t="s">
        <v>73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3">
      <c r="A66" s="1" t="s">
        <v>26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6" customFormat="1" x14ac:dyDescent="0.3">
      <c r="A67" s="6" t="s">
        <v>78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3">
      <c r="A68" s="6" t="s">
        <v>45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3">
      <c r="A69" s="4" t="s">
        <v>87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3">
      <c r="A70" s="4" t="s">
        <v>74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2242.9499999999998</v>
      </c>
      <c r="C82">
        <v>1527.33</v>
      </c>
      <c r="D82">
        <v>2113.44</v>
      </c>
      <c r="E82">
        <v>2469.54</v>
      </c>
      <c r="F82">
        <v>2631.89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6" customFormat="1" x14ac:dyDescent="0.3">
      <c r="A83" s="6" t="s">
        <v>33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6" customFormat="1" x14ac:dyDescent="0.3">
      <c r="A84" s="6" t="s">
        <v>34</v>
      </c>
      <c r="B84">
        <v>-848.98</v>
      </c>
      <c r="C84">
        <v>-756.43</v>
      </c>
      <c r="D84">
        <v>-1379.14</v>
      </c>
      <c r="E84">
        <v>-1117.46</v>
      </c>
      <c r="F84">
        <v>-2465.1999999999998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3">
      <c r="A85" s="6" t="s">
        <v>35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95.92</v>
      </c>
      <c r="C93" s="24">
        <v>95.92</v>
      </c>
      <c r="D93" s="24">
        <v>95.92</v>
      </c>
      <c r="E93" s="24">
        <v>95.92</v>
      </c>
      <c r="F93" s="24">
        <v>95.92</v>
      </c>
      <c r="G93" s="24">
        <v>95.92</v>
      </c>
      <c r="H93" s="24">
        <v>95.92</v>
      </c>
      <c r="I93" s="24">
        <v>95.92</v>
      </c>
      <c r="J93" s="24">
        <v>95.92</v>
      </c>
      <c r="K93" s="24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83C1-21B6-4112-9B17-FB9FFFD39395}">
  <dimension ref="B3:R43"/>
  <sheetViews>
    <sheetView topLeftCell="B13" workbookViewId="0">
      <selection activeCell="O41" sqref="O41"/>
    </sheetView>
  </sheetViews>
  <sheetFormatPr defaultRowHeight="14.4" x14ac:dyDescent="0.3"/>
  <cols>
    <col min="2" max="2" width="21" bestFit="1" customWidth="1"/>
    <col min="10" max="10" width="21" bestFit="1" customWidth="1"/>
    <col min="17" max="17" width="14.88671875" bestFit="1" customWidth="1"/>
  </cols>
  <sheetData>
    <row r="3" spans="2:18" x14ac:dyDescent="0.3">
      <c r="C3" s="25">
        <v>44651</v>
      </c>
      <c r="D3" s="25">
        <v>45016</v>
      </c>
      <c r="E3" s="25">
        <v>45382</v>
      </c>
      <c r="F3" s="25">
        <v>45747</v>
      </c>
      <c r="K3" s="25">
        <v>44651</v>
      </c>
      <c r="L3" s="25">
        <v>45016</v>
      </c>
      <c r="M3" s="25">
        <v>45382</v>
      </c>
      <c r="N3" s="25">
        <v>45747</v>
      </c>
      <c r="O3" t="s">
        <v>94</v>
      </c>
    </row>
    <row r="4" spans="2:18" x14ac:dyDescent="0.3">
      <c r="Q4" t="s">
        <v>97</v>
      </c>
      <c r="R4">
        <v>0.06</v>
      </c>
    </row>
    <row r="5" spans="2:18" x14ac:dyDescent="0.3">
      <c r="B5" t="s">
        <v>6</v>
      </c>
      <c r="C5" s="26">
        <v>29101.279999999999</v>
      </c>
      <c r="D5" s="26">
        <v>34488.589999999997</v>
      </c>
      <c r="E5" s="26">
        <v>35494.730000000003</v>
      </c>
      <c r="F5" s="26">
        <v>33905.620000000003</v>
      </c>
      <c r="J5" t="s">
        <v>6</v>
      </c>
      <c r="K5" s="27"/>
      <c r="L5" s="27">
        <f>D5/C5-1</f>
        <v>0.18512278497715551</v>
      </c>
      <c r="M5" s="27">
        <f t="shared" ref="M5:N5" si="0">E5/D5-1</f>
        <v>2.9173126532572313E-2</v>
      </c>
      <c r="N5" s="27">
        <f t="shared" si="0"/>
        <v>-4.4770308155605121E-2</v>
      </c>
      <c r="O5" s="27">
        <f>AVERAGE(K5:N5)</f>
        <v>5.6508534451374236E-2</v>
      </c>
      <c r="Q5" t="s">
        <v>98</v>
      </c>
      <c r="R5">
        <v>0.82</v>
      </c>
    </row>
    <row r="6" spans="2:18" x14ac:dyDescent="0.3">
      <c r="B6" t="s">
        <v>7</v>
      </c>
      <c r="C6" s="26">
        <v>24297.67</v>
      </c>
      <c r="D6" s="26">
        <v>28228.75</v>
      </c>
      <c r="E6" s="26">
        <v>27909.750000000004</v>
      </c>
      <c r="F6" s="26">
        <v>27899.41</v>
      </c>
      <c r="J6" t="s">
        <v>7</v>
      </c>
      <c r="K6" s="27">
        <f>C6/C5</f>
        <v>0.83493475201090805</v>
      </c>
      <c r="L6" s="27">
        <f t="shared" ref="L6:N6" si="1">D6/D5</f>
        <v>0.81849533425402443</v>
      </c>
      <c r="M6" s="27">
        <f t="shared" si="1"/>
        <v>0.78630686865345933</v>
      </c>
      <c r="N6" s="27">
        <f t="shared" si="1"/>
        <v>0.82285503111283609</v>
      </c>
      <c r="O6" s="27">
        <f t="shared" ref="O6:O12" si="2">AVERAGE(K6:N6)</f>
        <v>0.81564799650780695</v>
      </c>
      <c r="Q6" t="s">
        <v>10</v>
      </c>
      <c r="R6">
        <v>0.03</v>
      </c>
    </row>
    <row r="7" spans="2:18" x14ac:dyDescent="0.3">
      <c r="B7" t="s">
        <v>8</v>
      </c>
      <c r="C7" s="26">
        <v>4803.6100000000006</v>
      </c>
      <c r="D7" s="26">
        <v>6259.8399999999965</v>
      </c>
      <c r="E7" s="26">
        <v>7584.98</v>
      </c>
      <c r="F7" s="26">
        <v>6006.2100000000028</v>
      </c>
      <c r="J7" t="s">
        <v>8</v>
      </c>
      <c r="K7" s="27"/>
      <c r="L7" s="27"/>
      <c r="M7" s="27"/>
      <c r="N7" s="27"/>
      <c r="O7" s="27"/>
      <c r="Q7" t="s">
        <v>13</v>
      </c>
      <c r="R7">
        <v>0.26</v>
      </c>
    </row>
    <row r="8" spans="2:18" x14ac:dyDescent="0.3">
      <c r="B8" t="s">
        <v>9</v>
      </c>
      <c r="C8" s="26">
        <v>295.88</v>
      </c>
      <c r="D8" s="26">
        <v>431.46</v>
      </c>
      <c r="E8" s="26">
        <v>820.96</v>
      </c>
      <c r="F8" s="26">
        <v>350.22</v>
      </c>
      <c r="J8" t="s">
        <v>9</v>
      </c>
      <c r="K8" s="27"/>
      <c r="L8" s="27"/>
      <c r="M8" s="27"/>
      <c r="N8" s="27"/>
      <c r="O8" s="27"/>
    </row>
    <row r="9" spans="2:18" x14ac:dyDescent="0.3">
      <c r="B9" t="s">
        <v>10</v>
      </c>
      <c r="C9" s="26">
        <v>816.36</v>
      </c>
      <c r="D9" s="26">
        <v>858.02</v>
      </c>
      <c r="E9" s="26">
        <v>853</v>
      </c>
      <c r="F9" s="26">
        <v>1026.3399999999999</v>
      </c>
      <c r="J9" t="s">
        <v>10</v>
      </c>
      <c r="K9" s="27">
        <f>C9/C5</f>
        <v>2.8052374328551871E-2</v>
      </c>
      <c r="L9" s="27">
        <f t="shared" ref="L9:N9" si="3">D9/D5</f>
        <v>2.4878372818372688E-2</v>
      </c>
      <c r="M9" s="27">
        <f t="shared" si="3"/>
        <v>2.4031736542297968E-2</v>
      </c>
      <c r="N9" s="27">
        <f t="shared" si="3"/>
        <v>3.0270497929251843E-2</v>
      </c>
      <c r="O9" s="27">
        <f t="shared" si="2"/>
        <v>2.680824540461859E-2</v>
      </c>
      <c r="Q9" t="s">
        <v>99</v>
      </c>
      <c r="R9">
        <v>0.14000000000000001</v>
      </c>
    </row>
    <row r="10" spans="2:18" x14ac:dyDescent="0.3">
      <c r="B10" t="s">
        <v>11</v>
      </c>
      <c r="C10" s="26">
        <v>95.41</v>
      </c>
      <c r="D10" s="26">
        <v>144.44999999999999</v>
      </c>
      <c r="E10" s="26">
        <v>205.17</v>
      </c>
      <c r="F10" s="26">
        <v>227.02</v>
      </c>
      <c r="J10" t="s">
        <v>11</v>
      </c>
      <c r="K10" s="27"/>
      <c r="L10" s="27"/>
      <c r="M10" s="27"/>
      <c r="N10" s="27"/>
      <c r="O10" s="27"/>
      <c r="Q10" t="s">
        <v>100</v>
      </c>
      <c r="R10">
        <v>0.25</v>
      </c>
    </row>
    <row r="11" spans="2:18" x14ac:dyDescent="0.3">
      <c r="B11" t="s">
        <v>12</v>
      </c>
      <c r="C11" s="26">
        <v>4187.72</v>
      </c>
      <c r="D11" s="26">
        <v>5688.83</v>
      </c>
      <c r="E11" s="26">
        <v>7347.77</v>
      </c>
      <c r="F11" s="26">
        <v>5103.07</v>
      </c>
      <c r="J11" t="s">
        <v>12</v>
      </c>
      <c r="K11" s="27"/>
      <c r="L11" s="27"/>
      <c r="M11" s="27"/>
      <c r="N11" s="27"/>
      <c r="O11" s="27"/>
      <c r="Q11" t="s">
        <v>101</v>
      </c>
      <c r="R11">
        <v>96</v>
      </c>
    </row>
    <row r="12" spans="2:18" x14ac:dyDescent="0.3">
      <c r="B12" t="s">
        <v>13</v>
      </c>
      <c r="C12" s="26">
        <v>1102.9100000000001</v>
      </c>
      <c r="D12" s="26">
        <v>1493.5</v>
      </c>
      <c r="E12" s="26">
        <v>1790.08</v>
      </c>
      <c r="F12" s="26">
        <v>1393.36</v>
      </c>
      <c r="J12" t="s">
        <v>13</v>
      </c>
      <c r="K12" s="27">
        <f>C12/C11</f>
        <v>0.26336765590822692</v>
      </c>
      <c r="L12" s="27">
        <f t="shared" ref="L12:N12" si="4">D12/D11</f>
        <v>0.26253201449155628</v>
      </c>
      <c r="M12" s="27">
        <f t="shared" si="4"/>
        <v>0.24362221463110573</v>
      </c>
      <c r="N12" s="27">
        <f t="shared" si="4"/>
        <v>0.27304348166887776</v>
      </c>
      <c r="O12" s="27">
        <f t="shared" si="2"/>
        <v>0.26064134167494168</v>
      </c>
    </row>
    <row r="13" spans="2:18" x14ac:dyDescent="0.3">
      <c r="B13" t="s">
        <v>14</v>
      </c>
      <c r="C13" s="26">
        <v>3030.57</v>
      </c>
      <c r="D13" s="26">
        <v>4106.45</v>
      </c>
      <c r="E13" s="26">
        <v>5460.23</v>
      </c>
      <c r="F13" s="26">
        <v>3667.23</v>
      </c>
      <c r="J13" t="s">
        <v>14</v>
      </c>
      <c r="K13" s="27"/>
      <c r="L13" s="27"/>
      <c r="M13" s="27"/>
      <c r="N13" s="27"/>
      <c r="O13" s="27"/>
    </row>
    <row r="15" spans="2:18" x14ac:dyDescent="0.3">
      <c r="Q15" t="s">
        <v>102</v>
      </c>
      <c r="R15">
        <v>0.83</v>
      </c>
    </row>
    <row r="16" spans="2:18" x14ac:dyDescent="0.3">
      <c r="Q16" t="s">
        <v>29</v>
      </c>
      <c r="R16">
        <v>1.1399999999999999</v>
      </c>
    </row>
    <row r="17" spans="2:18" x14ac:dyDescent="0.3">
      <c r="C17" s="25">
        <v>44651</v>
      </c>
      <c r="D17" s="25">
        <v>45016</v>
      </c>
      <c r="E17" s="25">
        <v>45382</v>
      </c>
      <c r="F17" s="25">
        <v>45747</v>
      </c>
      <c r="K17" s="29">
        <v>44651</v>
      </c>
      <c r="L17" s="29">
        <v>45016</v>
      </c>
      <c r="M17" s="29">
        <v>45382</v>
      </c>
      <c r="N17" s="29">
        <v>45747</v>
      </c>
      <c r="Q17" t="s">
        <v>103</v>
      </c>
      <c r="R17">
        <v>0.42</v>
      </c>
    </row>
    <row r="19" spans="2:18" x14ac:dyDescent="0.3">
      <c r="B19" t="s">
        <v>24</v>
      </c>
      <c r="C19" s="26">
        <v>95.92</v>
      </c>
      <c r="D19" s="26">
        <v>95.92</v>
      </c>
      <c r="E19" s="26">
        <v>95.92</v>
      </c>
      <c r="F19" s="26">
        <v>95.92</v>
      </c>
      <c r="J19" t="s">
        <v>24</v>
      </c>
      <c r="K19" s="26">
        <f>C19</f>
        <v>95.92</v>
      </c>
      <c r="L19" s="26">
        <f t="shared" ref="L19:N19" si="5">D19</f>
        <v>95.92</v>
      </c>
      <c r="M19" s="26">
        <f t="shared" si="5"/>
        <v>95.92</v>
      </c>
      <c r="N19" s="26">
        <f t="shared" si="5"/>
        <v>95.92</v>
      </c>
      <c r="O19" s="26">
        <f>N19</f>
        <v>95.92</v>
      </c>
    </row>
    <row r="20" spans="2:18" x14ac:dyDescent="0.3">
      <c r="B20" t="s">
        <v>25</v>
      </c>
      <c r="C20" s="26">
        <v>13715.64</v>
      </c>
      <c r="D20" s="26">
        <v>15896.31</v>
      </c>
      <c r="E20" s="26">
        <v>18632.38</v>
      </c>
      <c r="F20" s="26">
        <v>19303.89</v>
      </c>
      <c r="J20" t="s">
        <v>25</v>
      </c>
    </row>
    <row r="21" spans="2:18" x14ac:dyDescent="0.3">
      <c r="B21" t="s">
        <v>71</v>
      </c>
      <c r="C21" s="26">
        <v>1586.88</v>
      </c>
      <c r="D21" s="26">
        <v>1932.62</v>
      </c>
      <c r="E21" s="26">
        <v>2474.38</v>
      </c>
      <c r="F21" s="26">
        <v>2290.29</v>
      </c>
      <c r="J21" t="s">
        <v>71</v>
      </c>
      <c r="K21" s="27"/>
      <c r="L21" s="27">
        <f>D21/C21-1</f>
        <v>0.21787406735228854</v>
      </c>
      <c r="M21" s="27">
        <f t="shared" ref="M21:N21" si="6">E21/D21-1</f>
        <v>0.28032411958895187</v>
      </c>
      <c r="N21" s="27">
        <f t="shared" si="6"/>
        <v>-7.4398435163556154E-2</v>
      </c>
      <c r="O21" s="27">
        <f>AVERAGE(K21:N21)</f>
        <v>0.14126658392589475</v>
      </c>
    </row>
    <row r="22" spans="2:18" x14ac:dyDescent="0.3">
      <c r="B22" t="s">
        <v>72</v>
      </c>
      <c r="C22" s="26">
        <v>7559.99</v>
      </c>
      <c r="D22" s="26">
        <v>7854.48</v>
      </c>
      <c r="E22" s="26">
        <v>8698.09</v>
      </c>
      <c r="F22" s="26">
        <v>8665.15</v>
      </c>
      <c r="J22" t="s">
        <v>72</v>
      </c>
      <c r="K22" s="27">
        <f>C22/C5</f>
        <v>0.25978204395133137</v>
      </c>
      <c r="L22" s="27">
        <f t="shared" ref="L22:N22" si="7">D22/D5</f>
        <v>0.22774140665072132</v>
      </c>
      <c r="M22" s="27">
        <f t="shared" si="7"/>
        <v>0.24505299800843672</v>
      </c>
      <c r="N22" s="27">
        <f t="shared" si="7"/>
        <v>0.25556677624535401</v>
      </c>
      <c r="O22" s="27">
        <f t="shared" ref="O22:O30" si="8">AVERAGE(K22:N22)</f>
        <v>0.24703580621396087</v>
      </c>
    </row>
    <row r="23" spans="2:18" x14ac:dyDescent="0.3">
      <c r="B23" t="s">
        <v>26</v>
      </c>
      <c r="C23" s="26">
        <f>SUM(C19:C22)</f>
        <v>22958.43</v>
      </c>
      <c r="D23" s="26">
        <f t="shared" ref="D23:F23" si="9">SUM(D19:D22)</f>
        <v>25779.329999999998</v>
      </c>
      <c r="E23" s="26">
        <f t="shared" si="9"/>
        <v>29900.77</v>
      </c>
      <c r="F23" s="26">
        <f t="shared" si="9"/>
        <v>30355.25</v>
      </c>
      <c r="J23" t="s">
        <v>26</v>
      </c>
      <c r="O23" s="27"/>
    </row>
    <row r="24" spans="2:18" x14ac:dyDescent="0.3">
      <c r="O24" s="27"/>
    </row>
    <row r="25" spans="2:18" x14ac:dyDescent="0.3">
      <c r="O25" s="27"/>
    </row>
    <row r="26" spans="2:18" x14ac:dyDescent="0.3">
      <c r="B26" t="s">
        <v>93</v>
      </c>
      <c r="C26" s="26">
        <v>864.33</v>
      </c>
      <c r="D26" s="26">
        <v>843.82</v>
      </c>
      <c r="E26" s="26">
        <v>1084.01</v>
      </c>
      <c r="F26" s="26">
        <v>781.98</v>
      </c>
      <c r="J26" t="s">
        <v>93</v>
      </c>
      <c r="O26" s="27"/>
    </row>
    <row r="27" spans="2:18" x14ac:dyDescent="0.3">
      <c r="B27" t="s">
        <v>27</v>
      </c>
      <c r="C27" s="26">
        <v>5519.06</v>
      </c>
      <c r="D27" s="26">
        <v>5770.46</v>
      </c>
      <c r="E27" s="26">
        <v>7146.62</v>
      </c>
      <c r="F27" s="26">
        <v>9220.1</v>
      </c>
      <c r="J27" t="s">
        <v>27</v>
      </c>
      <c r="O27" s="27"/>
    </row>
    <row r="28" spans="2:18" x14ac:dyDescent="0.3">
      <c r="B28" t="s">
        <v>28</v>
      </c>
      <c r="C28" s="26">
        <v>426.43</v>
      </c>
      <c r="D28" s="26">
        <v>1019.59</v>
      </c>
      <c r="E28" s="26">
        <v>2698.37</v>
      </c>
      <c r="F28" s="26">
        <v>1254.49</v>
      </c>
      <c r="J28" t="s">
        <v>28</v>
      </c>
      <c r="K28" s="27"/>
      <c r="L28" s="27">
        <f>D28/C28-1</f>
        <v>1.3909903149403187</v>
      </c>
      <c r="M28" s="27">
        <f t="shared" ref="M28:N28" si="10">E28/D28-1</f>
        <v>1.6465245834109785</v>
      </c>
      <c r="N28" s="27">
        <f t="shared" si="10"/>
        <v>-0.53509340824275387</v>
      </c>
      <c r="O28" s="27">
        <f t="shared" si="8"/>
        <v>0.83414049670284773</v>
      </c>
    </row>
    <row r="29" spans="2:18" x14ac:dyDescent="0.3">
      <c r="B29" t="s">
        <v>29</v>
      </c>
      <c r="C29" s="26">
        <v>3247.53</v>
      </c>
      <c r="D29" s="26">
        <v>4261.71</v>
      </c>
      <c r="E29" s="26">
        <v>4587.92</v>
      </c>
      <c r="F29" s="26">
        <v>4724.75</v>
      </c>
      <c r="J29" t="s">
        <v>29</v>
      </c>
      <c r="K29" s="27"/>
      <c r="L29" s="27">
        <f>D29/C29</f>
        <v>1.3122927270879714</v>
      </c>
      <c r="M29" s="27">
        <f t="shared" ref="M29:N29" si="11">E29/D29</f>
        <v>1.0765443918051674</v>
      </c>
      <c r="N29" s="27">
        <f t="shared" si="11"/>
        <v>1.0298239725191372</v>
      </c>
      <c r="O29" s="27">
        <f t="shared" si="8"/>
        <v>1.1395536971374252</v>
      </c>
    </row>
    <row r="30" spans="2:18" x14ac:dyDescent="0.3">
      <c r="B30" t="s">
        <v>73</v>
      </c>
      <c r="C30" s="26">
        <v>12901.08</v>
      </c>
      <c r="D30" s="26">
        <v>13883.75</v>
      </c>
      <c r="E30" s="26">
        <v>14383.85</v>
      </c>
      <c r="F30" s="26">
        <v>14373.93</v>
      </c>
      <c r="J30" t="s">
        <v>73</v>
      </c>
      <c r="K30" s="27">
        <f>C30/C5</f>
        <v>0.44331658263828949</v>
      </c>
      <c r="L30" s="27">
        <f t="shared" ref="L30:N30" si="12">D30/D5</f>
        <v>0.40256067296459502</v>
      </c>
      <c r="M30" s="27">
        <f t="shared" si="12"/>
        <v>0.40523903125900657</v>
      </c>
      <c r="N30" s="27">
        <f t="shared" si="12"/>
        <v>0.42393945310541437</v>
      </c>
      <c r="O30" s="27">
        <f t="shared" si="8"/>
        <v>0.41876393499182635</v>
      </c>
    </row>
    <row r="31" spans="2:18" x14ac:dyDescent="0.3">
      <c r="B31" t="s">
        <v>26</v>
      </c>
      <c r="C31" s="26">
        <f>SUM(C26:C30)</f>
        <v>22958.43</v>
      </c>
      <c r="D31" s="26">
        <f t="shared" ref="D31:F31" si="13">SUM(D26:D30)</f>
        <v>25779.33</v>
      </c>
      <c r="E31" s="26">
        <f t="shared" si="13"/>
        <v>29900.77</v>
      </c>
      <c r="F31" s="26">
        <f t="shared" si="13"/>
        <v>30355.25</v>
      </c>
      <c r="J31" t="s">
        <v>26</v>
      </c>
    </row>
    <row r="34" spans="2:15" x14ac:dyDescent="0.3">
      <c r="B34" t="s">
        <v>95</v>
      </c>
      <c r="C34" s="26">
        <f>C23-C31</f>
        <v>0</v>
      </c>
      <c r="D34" s="26">
        <f t="shared" ref="D34:F34" si="14">D23-D31</f>
        <v>0</v>
      </c>
      <c r="E34" s="26">
        <f t="shared" si="14"/>
        <v>0</v>
      </c>
      <c r="F34" s="26">
        <f t="shared" si="14"/>
        <v>0</v>
      </c>
      <c r="J34" t="s">
        <v>110</v>
      </c>
    </row>
    <row r="35" spans="2:15" x14ac:dyDescent="0.3">
      <c r="J35" t="s">
        <v>111</v>
      </c>
      <c r="K35" s="26">
        <f>C27</f>
        <v>5519.06</v>
      </c>
      <c r="L35" s="26">
        <f t="shared" ref="L35:N35" si="15">D27</f>
        <v>5770.46</v>
      </c>
      <c r="M35" s="26">
        <f t="shared" si="15"/>
        <v>7146.62</v>
      </c>
      <c r="N35" s="26">
        <f t="shared" si="15"/>
        <v>9220.1</v>
      </c>
    </row>
    <row r="36" spans="2:15" x14ac:dyDescent="0.3">
      <c r="J36" t="s">
        <v>109</v>
      </c>
      <c r="L36" s="26">
        <f>-K35</f>
        <v>-5519.06</v>
      </c>
      <c r="M36" s="26">
        <f t="shared" ref="M36:N36" si="16">-L35</f>
        <v>-5770.46</v>
      </c>
      <c r="N36" s="26">
        <f t="shared" si="16"/>
        <v>-7146.62</v>
      </c>
    </row>
    <row r="37" spans="2:15" x14ac:dyDescent="0.3">
      <c r="J37" t="s">
        <v>10</v>
      </c>
      <c r="L37" s="26">
        <f>D9</f>
        <v>858.02</v>
      </c>
      <c r="M37" s="26">
        <f t="shared" ref="M37:N37" si="17">E9</f>
        <v>853</v>
      </c>
      <c r="N37" s="26">
        <f t="shared" si="17"/>
        <v>1026.3399999999999</v>
      </c>
    </row>
    <row r="38" spans="2:15" x14ac:dyDescent="0.3">
      <c r="J38" t="s">
        <v>110</v>
      </c>
      <c r="L38" s="26">
        <f>SUM(L35:L37)</f>
        <v>1109.4199999999996</v>
      </c>
      <c r="M38" s="26">
        <f>SUM(M35:M37)</f>
        <v>2229.16</v>
      </c>
      <c r="N38" s="26">
        <f t="shared" ref="N38" si="18">SUM(N35:N37)</f>
        <v>3099.8200000000006</v>
      </c>
    </row>
    <row r="40" spans="2:15" x14ac:dyDescent="0.3">
      <c r="J40" t="s">
        <v>112</v>
      </c>
      <c r="L40" s="30">
        <f>L38/D5</f>
        <v>3.2167740113469401E-2</v>
      </c>
      <c r="M40" s="30">
        <f t="shared" ref="M40:N40" si="19">M38/E5</f>
        <v>6.2802562521253144E-2</v>
      </c>
      <c r="N40" s="30">
        <f t="shared" si="19"/>
        <v>9.1424961407577873E-2</v>
      </c>
      <c r="O40" s="30">
        <f>AVERAGE(L40:N40)</f>
        <v>6.2131754680766808E-2</v>
      </c>
    </row>
    <row r="41" spans="2:15" x14ac:dyDescent="0.3">
      <c r="B41" t="s">
        <v>87</v>
      </c>
      <c r="C41" s="26">
        <v>864.33</v>
      </c>
      <c r="D41" s="26">
        <v>843.82</v>
      </c>
      <c r="E41" s="26">
        <v>1084.01</v>
      </c>
      <c r="F41" s="26">
        <v>781.98</v>
      </c>
    </row>
    <row r="42" spans="2:15" x14ac:dyDescent="0.3">
      <c r="B42" t="s">
        <v>96</v>
      </c>
      <c r="C42" s="26">
        <v>13765.41</v>
      </c>
      <c r="D42" s="26">
        <v>14727.57</v>
      </c>
      <c r="E42" s="26">
        <v>15467.86</v>
      </c>
      <c r="F42" s="26">
        <v>15155.91</v>
      </c>
    </row>
    <row r="43" spans="2:15" x14ac:dyDescent="0.3">
      <c r="B43" t="s">
        <v>73</v>
      </c>
      <c r="C43" s="26">
        <f>C42-C41</f>
        <v>12901.08</v>
      </c>
      <c r="D43" s="26">
        <f t="shared" ref="D43:F43" si="20">D42-D41</f>
        <v>13883.75</v>
      </c>
      <c r="E43" s="26">
        <f t="shared" si="20"/>
        <v>14383.85</v>
      </c>
      <c r="F43" s="26">
        <f t="shared" si="20"/>
        <v>14373.93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6D82-F71D-4EDA-9467-E934D57BBB4B}">
  <dimension ref="B3:R62"/>
  <sheetViews>
    <sheetView topLeftCell="A22" workbookViewId="0">
      <selection activeCell="J42" sqref="J42"/>
    </sheetView>
  </sheetViews>
  <sheetFormatPr defaultRowHeight="14.4" x14ac:dyDescent="0.3"/>
  <cols>
    <col min="2" max="2" width="21" bestFit="1" customWidth="1"/>
    <col min="3" max="3" width="7.109375" bestFit="1" customWidth="1"/>
    <col min="13" max="13" width="18" bestFit="1" customWidth="1"/>
  </cols>
  <sheetData>
    <row r="3" spans="2:14" x14ac:dyDescent="0.3">
      <c r="C3" s="29">
        <v>45747</v>
      </c>
      <c r="D3" s="29">
        <v>46112</v>
      </c>
      <c r="E3" s="29">
        <v>46477</v>
      </c>
      <c r="F3" s="29">
        <v>46843</v>
      </c>
      <c r="G3" s="29">
        <v>47208</v>
      </c>
      <c r="M3" s="2" t="s">
        <v>97</v>
      </c>
      <c r="N3" s="2">
        <v>0.06</v>
      </c>
    </row>
    <row r="4" spans="2:14" x14ac:dyDescent="0.3">
      <c r="M4" s="2" t="s">
        <v>98</v>
      </c>
      <c r="N4" s="2">
        <v>0.82</v>
      </c>
    </row>
    <row r="5" spans="2:14" x14ac:dyDescent="0.3">
      <c r="B5" s="2" t="s">
        <v>6</v>
      </c>
      <c r="C5" s="28">
        <v>33905.620000000003</v>
      </c>
      <c r="D5" s="28">
        <f>C5*1.06</f>
        <v>35939.957200000004</v>
      </c>
      <c r="E5" s="28">
        <f t="shared" ref="E5:G5" si="0">D5*1.06</f>
        <v>38096.35463200001</v>
      </c>
      <c r="F5" s="28">
        <f t="shared" si="0"/>
        <v>40382.135909920013</v>
      </c>
      <c r="G5" s="28">
        <f t="shared" si="0"/>
        <v>42805.064064515216</v>
      </c>
      <c r="M5" s="2" t="s">
        <v>10</v>
      </c>
      <c r="N5" s="2">
        <v>0.03</v>
      </c>
    </row>
    <row r="6" spans="2:14" x14ac:dyDescent="0.3">
      <c r="B6" s="2" t="s">
        <v>7</v>
      </c>
      <c r="C6" s="28">
        <v>27899.41</v>
      </c>
      <c r="D6" s="28">
        <f>-D5*0.82</f>
        <v>-29470.764904000003</v>
      </c>
      <c r="E6" s="28">
        <f t="shared" ref="E6:G6" si="1">-E5*0.82</f>
        <v>-31239.010798240008</v>
      </c>
      <c r="F6" s="28">
        <f t="shared" si="1"/>
        <v>-33113.351446134409</v>
      </c>
      <c r="G6" s="28">
        <f t="shared" si="1"/>
        <v>-35100.152532902473</v>
      </c>
      <c r="M6" s="2" t="s">
        <v>13</v>
      </c>
      <c r="N6" s="2">
        <v>0.26</v>
      </c>
    </row>
    <row r="7" spans="2:14" x14ac:dyDescent="0.3">
      <c r="B7" s="2" t="s">
        <v>8</v>
      </c>
      <c r="C7" s="28">
        <v>6006.2100000000028</v>
      </c>
      <c r="D7" s="28">
        <f>SUM(D5:D6)</f>
        <v>6469.1922960000011</v>
      </c>
      <c r="E7" s="28">
        <f t="shared" ref="E7:G7" si="2">SUM(E5:E6)</f>
        <v>6857.3438337600019</v>
      </c>
      <c r="F7" s="28">
        <f t="shared" si="2"/>
        <v>7268.7844637856033</v>
      </c>
      <c r="G7" s="28">
        <f t="shared" si="2"/>
        <v>7704.9115316127427</v>
      </c>
      <c r="M7" s="2"/>
      <c r="N7" s="2"/>
    </row>
    <row r="8" spans="2:14" x14ac:dyDescent="0.3">
      <c r="B8" s="2" t="s">
        <v>9</v>
      </c>
      <c r="C8" s="28">
        <v>350.22</v>
      </c>
      <c r="D8" s="28"/>
      <c r="E8" s="28"/>
      <c r="F8" s="28"/>
      <c r="G8" s="28"/>
      <c r="M8" s="2" t="s">
        <v>99</v>
      </c>
      <c r="N8" s="2">
        <v>0.14000000000000001</v>
      </c>
    </row>
    <row r="9" spans="2:14" x14ac:dyDescent="0.3">
      <c r="B9" s="2" t="s">
        <v>10</v>
      </c>
      <c r="C9" s="28">
        <v>1026.3399999999999</v>
      </c>
      <c r="D9" s="28">
        <f>-D5*0.03</f>
        <v>-1078.1987160000001</v>
      </c>
      <c r="E9" s="28">
        <f t="shared" ref="E9:G9" si="3">-E5*0.03</f>
        <v>-1142.8906389600002</v>
      </c>
      <c r="F9" s="28">
        <f t="shared" si="3"/>
        <v>-1211.4640772976004</v>
      </c>
      <c r="G9" s="28">
        <f t="shared" si="3"/>
        <v>-1284.1519219354564</v>
      </c>
      <c r="M9" s="2" t="s">
        <v>100</v>
      </c>
      <c r="N9" s="2">
        <v>0.25</v>
      </c>
    </row>
    <row r="10" spans="2:14" x14ac:dyDescent="0.3">
      <c r="B10" s="2" t="s">
        <v>11</v>
      </c>
      <c r="C10" s="28">
        <v>227.02</v>
      </c>
      <c r="D10" s="28"/>
      <c r="E10" s="28"/>
      <c r="F10" s="28"/>
      <c r="G10" s="28"/>
      <c r="M10" s="2" t="s">
        <v>101</v>
      </c>
      <c r="N10" s="2">
        <v>96</v>
      </c>
    </row>
    <row r="11" spans="2:14" x14ac:dyDescent="0.3">
      <c r="B11" s="2" t="s">
        <v>12</v>
      </c>
      <c r="C11" s="28">
        <v>5103.07</v>
      </c>
      <c r="D11" s="28">
        <f>SUM(D7:D10)</f>
        <v>5390.9935800000012</v>
      </c>
      <c r="E11" s="28">
        <f t="shared" ref="E11:G11" si="4">SUM(E7:E10)</f>
        <v>5714.4531948000022</v>
      </c>
      <c r="F11" s="28">
        <f t="shared" si="4"/>
        <v>6057.3203864880034</v>
      </c>
      <c r="G11" s="28">
        <f t="shared" si="4"/>
        <v>6420.7596096772868</v>
      </c>
      <c r="M11" s="2" t="s">
        <v>104</v>
      </c>
      <c r="N11" s="2"/>
    </row>
    <row r="12" spans="2:14" x14ac:dyDescent="0.3">
      <c r="B12" s="2" t="s">
        <v>13</v>
      </c>
      <c r="C12" s="28">
        <v>1393.36</v>
      </c>
      <c r="D12" s="28">
        <f>-D11*0.26</f>
        <v>-1401.6583308000004</v>
      </c>
      <c r="E12" s="28">
        <f>-E11*0.26</f>
        <v>-1485.7578306480007</v>
      </c>
      <c r="F12" s="28">
        <f>-F11*0.26</f>
        <v>-1574.9033004868809</v>
      </c>
      <c r="G12" s="28">
        <f>-G11*0.26</f>
        <v>-1669.3974985160946</v>
      </c>
      <c r="M12" s="2"/>
      <c r="N12" s="2"/>
    </row>
    <row r="13" spans="2:14" x14ac:dyDescent="0.3">
      <c r="B13" s="2" t="s">
        <v>14</v>
      </c>
      <c r="C13" s="28">
        <v>3667.23</v>
      </c>
      <c r="D13" s="28">
        <f>SUM(D11:D12)</f>
        <v>3989.3352492000008</v>
      </c>
      <c r="E13" s="28">
        <f>SUM(E11:E12)</f>
        <v>4228.6953641520013</v>
      </c>
      <c r="F13" s="28">
        <f>SUM(F11:F12)</f>
        <v>4482.4170860011227</v>
      </c>
      <c r="G13" s="28">
        <f>SUM(G11:G12)</f>
        <v>4751.3621111611919</v>
      </c>
      <c r="M13" s="2" t="s">
        <v>102</v>
      </c>
      <c r="N13" s="2">
        <v>0.83</v>
      </c>
    </row>
    <row r="14" spans="2:14" x14ac:dyDescent="0.3">
      <c r="M14" s="2" t="s">
        <v>29</v>
      </c>
      <c r="N14" s="2">
        <v>1.1399999999999999</v>
      </c>
    </row>
    <row r="15" spans="2:14" x14ac:dyDescent="0.3">
      <c r="M15" s="2" t="s">
        <v>103</v>
      </c>
      <c r="N15" s="2">
        <v>0.42</v>
      </c>
    </row>
    <row r="18" spans="2:18" x14ac:dyDescent="0.3">
      <c r="M18" s="2" t="s">
        <v>105</v>
      </c>
      <c r="N18" s="29">
        <v>45747</v>
      </c>
      <c r="O18" s="29">
        <v>46112</v>
      </c>
      <c r="P18" s="29">
        <v>46477</v>
      </c>
      <c r="Q18" s="29">
        <v>46843</v>
      </c>
      <c r="R18" s="29">
        <v>47208</v>
      </c>
    </row>
    <row r="19" spans="2:18" x14ac:dyDescent="0.3">
      <c r="M19" s="2" t="s">
        <v>106</v>
      </c>
      <c r="N19" s="28"/>
      <c r="O19" s="28">
        <f>N22</f>
        <v>19304</v>
      </c>
      <c r="P19" s="28">
        <f t="shared" ref="P19:R19" si="5">O22</f>
        <v>21298.667624600002</v>
      </c>
      <c r="Q19" s="28">
        <f t="shared" si="5"/>
        <v>23413.015306676003</v>
      </c>
      <c r="R19" s="28">
        <f t="shared" si="5"/>
        <v>25654.223849676564</v>
      </c>
    </row>
    <row r="20" spans="2:18" x14ac:dyDescent="0.3">
      <c r="C20" s="29">
        <v>45747</v>
      </c>
      <c r="D20" s="29">
        <v>46112</v>
      </c>
      <c r="E20" s="29">
        <v>46477</v>
      </c>
      <c r="F20" s="29">
        <v>46843</v>
      </c>
      <c r="G20" s="29">
        <v>47208</v>
      </c>
      <c r="M20" s="2" t="s">
        <v>107</v>
      </c>
      <c r="N20" s="28"/>
      <c r="O20" s="28">
        <f>D13</f>
        <v>3989.3352492000008</v>
      </c>
      <c r="P20" s="28">
        <f t="shared" ref="P20:R20" si="6">E13</f>
        <v>4228.6953641520013</v>
      </c>
      <c r="Q20" s="28">
        <f t="shared" si="6"/>
        <v>4482.4170860011227</v>
      </c>
      <c r="R20" s="28">
        <f t="shared" si="6"/>
        <v>4751.3621111611919</v>
      </c>
    </row>
    <row r="21" spans="2:18" x14ac:dyDescent="0.3">
      <c r="M21" s="2" t="s">
        <v>104</v>
      </c>
      <c r="N21" s="28"/>
      <c r="O21" s="28">
        <f>-O20*0.5</f>
        <v>-1994.6676246000004</v>
      </c>
      <c r="P21" s="28">
        <f t="shared" ref="P21:R21" si="7">-P20*0.5</f>
        <v>-2114.3476820760006</v>
      </c>
      <c r="Q21" s="28">
        <f t="shared" si="7"/>
        <v>-2241.2085430005613</v>
      </c>
      <c r="R21" s="28">
        <f t="shared" si="7"/>
        <v>-2375.681055580596</v>
      </c>
    </row>
    <row r="22" spans="2:18" x14ac:dyDescent="0.3">
      <c r="B22" s="2" t="s">
        <v>24</v>
      </c>
      <c r="C22" s="28">
        <v>95.92</v>
      </c>
      <c r="D22" s="28">
        <f>C22</f>
        <v>95.92</v>
      </c>
      <c r="E22" s="28">
        <f t="shared" ref="E22:G22" si="8">D22</f>
        <v>95.92</v>
      </c>
      <c r="F22" s="28">
        <f t="shared" si="8"/>
        <v>95.92</v>
      </c>
      <c r="G22" s="28">
        <f t="shared" si="8"/>
        <v>95.92</v>
      </c>
      <c r="M22" s="2" t="s">
        <v>108</v>
      </c>
      <c r="N22" s="28">
        <v>19304</v>
      </c>
      <c r="O22" s="28">
        <f>SUM(O19:O21)</f>
        <v>21298.667624600002</v>
      </c>
      <c r="P22" s="28">
        <f t="shared" ref="P22:R22" si="9">SUM(P19:P21)</f>
        <v>23413.015306676003</v>
      </c>
      <c r="Q22" s="28">
        <f t="shared" si="9"/>
        <v>25654.223849676564</v>
      </c>
      <c r="R22" s="28">
        <f t="shared" si="9"/>
        <v>28029.904905257161</v>
      </c>
    </row>
    <row r="23" spans="2:18" x14ac:dyDescent="0.3">
      <c r="B23" s="2" t="s">
        <v>121</v>
      </c>
      <c r="C23" s="28"/>
      <c r="D23" s="28"/>
      <c r="E23" s="28"/>
      <c r="F23" s="28"/>
      <c r="G23" s="28"/>
      <c r="M23" s="2"/>
      <c r="N23" s="28"/>
      <c r="O23" s="28"/>
      <c r="P23" s="28"/>
      <c r="Q23" s="28"/>
      <c r="R23" s="28"/>
    </row>
    <row r="24" spans="2:18" x14ac:dyDescent="0.3">
      <c r="B24" s="2" t="s">
        <v>25</v>
      </c>
      <c r="C24" s="28">
        <v>19303.89</v>
      </c>
      <c r="D24" s="28">
        <f>O22</f>
        <v>21298.667624600002</v>
      </c>
      <c r="E24" s="28">
        <f t="shared" ref="E24:G24" si="10">P22</f>
        <v>23413.015306676003</v>
      </c>
      <c r="F24" s="28">
        <f t="shared" si="10"/>
        <v>25654.223849676564</v>
      </c>
      <c r="G24" s="28">
        <f t="shared" si="10"/>
        <v>28029.904905257161</v>
      </c>
    </row>
    <row r="25" spans="2:18" x14ac:dyDescent="0.3">
      <c r="B25" s="2" t="s">
        <v>71</v>
      </c>
      <c r="C25" s="28">
        <v>2290.29</v>
      </c>
      <c r="D25" s="28">
        <f>C25*1.14</f>
        <v>2610.9305999999997</v>
      </c>
      <c r="E25" s="28">
        <f t="shared" ref="E25:G25" si="11">D25*1.14</f>
        <v>2976.4608839999992</v>
      </c>
      <c r="F25" s="28">
        <f t="shared" si="11"/>
        <v>3393.1654077599987</v>
      </c>
      <c r="G25" s="28">
        <f t="shared" si="11"/>
        <v>3868.2085648463981</v>
      </c>
    </row>
    <row r="26" spans="2:18" x14ac:dyDescent="0.3">
      <c r="B26" s="2" t="s">
        <v>72</v>
      </c>
      <c r="C26" s="28">
        <v>8665.15</v>
      </c>
      <c r="D26" s="28">
        <f>D5*0.25</f>
        <v>8984.9893000000011</v>
      </c>
      <c r="E26" s="28">
        <f t="shared" ref="E26:G26" si="12">E5*0.25</f>
        <v>9524.0886580000024</v>
      </c>
      <c r="F26" s="28">
        <f t="shared" si="12"/>
        <v>10095.533977480003</v>
      </c>
      <c r="G26" s="28">
        <f t="shared" si="12"/>
        <v>10701.266016128804</v>
      </c>
      <c r="M26" s="2" t="s">
        <v>27</v>
      </c>
      <c r="N26" s="29">
        <v>45747</v>
      </c>
      <c r="O26" s="29">
        <v>46112</v>
      </c>
      <c r="P26" s="29">
        <v>46477</v>
      </c>
      <c r="Q26" s="29">
        <v>46843</v>
      </c>
      <c r="R26" s="29">
        <v>47208</v>
      </c>
    </row>
    <row r="27" spans="2:18" x14ac:dyDescent="0.3">
      <c r="B27" s="2" t="s">
        <v>26</v>
      </c>
      <c r="C27" s="28">
        <f>SUM(C22:C26)</f>
        <v>30355.25</v>
      </c>
      <c r="D27" s="28">
        <f>SUM(D22:D26)</f>
        <v>32990.507524600005</v>
      </c>
      <c r="E27" s="28">
        <f t="shared" ref="E27:G27" si="13">SUM(E22:E26)</f>
        <v>36009.484848676002</v>
      </c>
      <c r="F27" s="28">
        <f t="shared" si="13"/>
        <v>39238.843234916567</v>
      </c>
      <c r="G27" s="28">
        <f t="shared" si="13"/>
        <v>42695.299486232361</v>
      </c>
      <c r="M27" s="2" t="s">
        <v>109</v>
      </c>
      <c r="N27" s="31"/>
      <c r="O27" s="31">
        <f>N30</f>
        <v>9220</v>
      </c>
      <c r="P27" s="31">
        <f t="shared" ref="P27:R27" si="14">O30</f>
        <v>10298.198715999999</v>
      </c>
      <c r="Q27" s="31">
        <f t="shared" si="14"/>
        <v>11441.089354959999</v>
      </c>
      <c r="R27" s="31">
        <f t="shared" si="14"/>
        <v>12652.5534322576</v>
      </c>
    </row>
    <row r="28" spans="2:18" x14ac:dyDescent="0.3">
      <c r="B28" s="2"/>
      <c r="C28" s="28"/>
      <c r="D28" s="28"/>
      <c r="E28" s="28"/>
      <c r="F28" s="28"/>
      <c r="G28" s="28"/>
      <c r="M28" s="2" t="s">
        <v>110</v>
      </c>
      <c r="N28" s="31"/>
      <c r="O28" s="31">
        <f>D5*0.06</f>
        <v>2156.3974320000002</v>
      </c>
      <c r="P28" s="31">
        <f t="shared" ref="P28:R28" si="15">E5*0.06</f>
        <v>2285.7812779200003</v>
      </c>
      <c r="Q28" s="31">
        <f t="shared" si="15"/>
        <v>2422.9281545952008</v>
      </c>
      <c r="R28" s="31">
        <f t="shared" si="15"/>
        <v>2568.3038438709127</v>
      </c>
    </row>
    <row r="29" spans="2:18" x14ac:dyDescent="0.3">
      <c r="B29" s="2"/>
      <c r="C29" s="28"/>
      <c r="D29" s="28"/>
      <c r="E29" s="28"/>
      <c r="F29" s="28"/>
      <c r="G29" s="28"/>
      <c r="M29" s="2" t="s">
        <v>10</v>
      </c>
      <c r="N29" s="31"/>
      <c r="O29" s="31">
        <f>D9</f>
        <v>-1078.1987160000001</v>
      </c>
      <c r="P29" s="31">
        <f>E9</f>
        <v>-1142.8906389600002</v>
      </c>
      <c r="Q29" s="31">
        <f>F9</f>
        <v>-1211.4640772976004</v>
      </c>
      <c r="R29" s="31">
        <f>G9</f>
        <v>-1284.1519219354564</v>
      </c>
    </row>
    <row r="30" spans="2:18" x14ac:dyDescent="0.3">
      <c r="B30" s="2" t="s">
        <v>93</v>
      </c>
      <c r="C30" s="28">
        <v>781.98</v>
      </c>
      <c r="D30" s="28"/>
      <c r="E30" s="28"/>
      <c r="F30" s="28"/>
      <c r="G30" s="28"/>
      <c r="M30" s="2" t="s">
        <v>111</v>
      </c>
      <c r="N30" s="31">
        <v>9220</v>
      </c>
      <c r="O30" s="31">
        <f>SUM(O27:O29)</f>
        <v>10298.198715999999</v>
      </c>
      <c r="P30" s="31">
        <f>SUM(P27:P29)</f>
        <v>11441.089354959999</v>
      </c>
      <c r="Q30" s="31">
        <f>SUM(Q27:Q29)</f>
        <v>12652.5534322576</v>
      </c>
      <c r="R30" s="31">
        <f>SUM(R27:R29)</f>
        <v>13936.705354193058</v>
      </c>
    </row>
    <row r="31" spans="2:18" x14ac:dyDescent="0.3">
      <c r="B31" s="2" t="s">
        <v>27</v>
      </c>
      <c r="C31" s="28">
        <v>9220.1</v>
      </c>
      <c r="D31" s="28">
        <f>O30</f>
        <v>10298.198715999999</v>
      </c>
      <c r="E31" s="28">
        <f t="shared" ref="E31:G31" si="16">P30</f>
        <v>11441.089354959999</v>
      </c>
      <c r="F31" s="28">
        <f t="shared" si="16"/>
        <v>12652.5534322576</v>
      </c>
      <c r="G31" s="28">
        <f t="shared" si="16"/>
        <v>13936.705354193058</v>
      </c>
    </row>
    <row r="32" spans="2:18" x14ac:dyDescent="0.3">
      <c r="B32" s="2" t="s">
        <v>28</v>
      </c>
      <c r="C32" s="28">
        <v>1254.49</v>
      </c>
      <c r="D32" s="28">
        <f>C32*1.83</f>
        <v>2295.7166999999999</v>
      </c>
      <c r="E32" s="28">
        <f t="shared" ref="E32:G32" si="17">D32*1.83</f>
        <v>4201.1615609999999</v>
      </c>
      <c r="F32" s="28">
        <f t="shared" si="17"/>
        <v>7688.1256566299999</v>
      </c>
      <c r="G32" s="28">
        <f t="shared" si="17"/>
        <v>14069.269951632901</v>
      </c>
    </row>
    <row r="33" spans="2:18" x14ac:dyDescent="0.3">
      <c r="B33" s="2" t="s">
        <v>29</v>
      </c>
      <c r="C33" s="28">
        <v>4724.75</v>
      </c>
      <c r="D33" s="28">
        <f>C33*2.14</f>
        <v>10110.965</v>
      </c>
      <c r="E33" s="28">
        <f t="shared" ref="E33:G33" si="18">D33*2.14</f>
        <v>21637.465100000001</v>
      </c>
      <c r="F33" s="28">
        <f t="shared" si="18"/>
        <v>46304.175314000007</v>
      </c>
      <c r="G33" s="28">
        <f t="shared" si="18"/>
        <v>99090.935171960024</v>
      </c>
    </row>
    <row r="34" spans="2:18" x14ac:dyDescent="0.3">
      <c r="B34" s="2" t="s">
        <v>73</v>
      </c>
      <c r="C34" s="28">
        <v>14373.93</v>
      </c>
      <c r="D34" s="28">
        <f>D5*0.42</f>
        <v>15094.782024000002</v>
      </c>
      <c r="E34" s="28">
        <f t="shared" ref="E34:G34" si="19">E5*0.42</f>
        <v>16000.468945440003</v>
      </c>
      <c r="F34" s="28">
        <f t="shared" si="19"/>
        <v>16960.497082166406</v>
      </c>
      <c r="G34" s="28">
        <f t="shared" si="19"/>
        <v>17978.12690709639</v>
      </c>
      <c r="O34" s="26">
        <f>SUM(O28:O29)</f>
        <v>1078.1987160000001</v>
      </c>
      <c r="P34" s="26">
        <f t="shared" ref="P34:R34" si="20">SUM(P28:P29)</f>
        <v>1142.8906389600002</v>
      </c>
      <c r="Q34" s="26">
        <f t="shared" si="20"/>
        <v>1211.4640772976004</v>
      </c>
      <c r="R34" s="26">
        <f t="shared" si="20"/>
        <v>1284.1519219354564</v>
      </c>
    </row>
    <row r="35" spans="2:18" x14ac:dyDescent="0.3">
      <c r="B35" s="2" t="s">
        <v>26</v>
      </c>
      <c r="C35" s="28">
        <f>SUM(C30:C34)</f>
        <v>30355.25</v>
      </c>
      <c r="D35" s="28">
        <f>SUM(D30:D34)</f>
        <v>37799.66244</v>
      </c>
      <c r="E35" s="28">
        <f t="shared" ref="E35:G35" si="21">SUM(E30:E34)</f>
        <v>53280.184961400009</v>
      </c>
      <c r="F35" s="28">
        <f t="shared" si="21"/>
        <v>83605.351485054009</v>
      </c>
      <c r="G35" s="28">
        <f t="shared" si="21"/>
        <v>145075.03738488237</v>
      </c>
    </row>
    <row r="36" spans="2:18" x14ac:dyDescent="0.3">
      <c r="B36" s="2"/>
      <c r="C36" s="28"/>
      <c r="D36" s="28"/>
      <c r="E36" s="28"/>
      <c r="F36" s="28"/>
      <c r="G36" s="28"/>
    </row>
    <row r="37" spans="2:18" x14ac:dyDescent="0.3">
      <c r="B37" s="2"/>
      <c r="C37" s="28"/>
      <c r="D37" s="28"/>
      <c r="E37" s="28"/>
      <c r="F37" s="28"/>
      <c r="G37" s="28"/>
    </row>
    <row r="38" spans="2:18" x14ac:dyDescent="0.3">
      <c r="B38" s="2" t="s">
        <v>95</v>
      </c>
      <c r="C38" s="28">
        <f>C27-C35</f>
        <v>0</v>
      </c>
      <c r="D38" s="28">
        <f t="shared" ref="D38:G38" si="22">D27-D35</f>
        <v>-4809.1549153999949</v>
      </c>
      <c r="E38" s="28">
        <f t="shared" si="22"/>
        <v>-17270.700112724007</v>
      </c>
      <c r="F38" s="28">
        <f t="shared" si="22"/>
        <v>-44366.508250137442</v>
      </c>
      <c r="G38" s="28">
        <f t="shared" si="22"/>
        <v>-102379.73789865</v>
      </c>
    </row>
    <row r="41" spans="2:18" x14ac:dyDescent="0.3">
      <c r="J41" t="s">
        <v>122</v>
      </c>
    </row>
    <row r="42" spans="2:18" x14ac:dyDescent="0.3">
      <c r="C42" s="29">
        <v>45747</v>
      </c>
      <c r="D42" s="29">
        <v>46112</v>
      </c>
      <c r="E42" s="29">
        <v>46477</v>
      </c>
      <c r="F42" s="29">
        <v>46843</v>
      </c>
      <c r="G42" s="29">
        <v>47208</v>
      </c>
    </row>
    <row r="44" spans="2:18" x14ac:dyDescent="0.3">
      <c r="B44" s="2" t="s">
        <v>113</v>
      </c>
      <c r="C44" s="28"/>
      <c r="D44" s="28"/>
      <c r="E44" s="28"/>
      <c r="F44" s="28"/>
      <c r="G44" s="28"/>
    </row>
    <row r="45" spans="2:18" x14ac:dyDescent="0.3">
      <c r="B45" s="2" t="s">
        <v>120</v>
      </c>
      <c r="C45" s="28"/>
      <c r="D45" s="28">
        <f>D13</f>
        <v>3989.3352492000008</v>
      </c>
      <c r="E45" s="28">
        <f t="shared" ref="E45:G45" si="23">E13</f>
        <v>4228.6953641520013</v>
      </c>
      <c r="F45" s="28">
        <f t="shared" si="23"/>
        <v>4482.4170860011227</v>
      </c>
      <c r="G45" s="28">
        <f t="shared" si="23"/>
        <v>4751.3621111611919</v>
      </c>
    </row>
    <row r="46" spans="2:18" x14ac:dyDescent="0.3">
      <c r="B46" s="2" t="s">
        <v>10</v>
      </c>
      <c r="C46" s="28"/>
      <c r="J46" s="28">
        <f>-D9</f>
        <v>1078.1987160000001</v>
      </c>
      <c r="K46" s="28">
        <f>-E9</f>
        <v>1142.8906389600002</v>
      </c>
      <c r="L46" s="28">
        <f>-F9</f>
        <v>1211.4640772976004</v>
      </c>
      <c r="M46" s="28">
        <f>-G9</f>
        <v>1284.1519219354564</v>
      </c>
    </row>
    <row r="47" spans="2:18" x14ac:dyDescent="0.3">
      <c r="B47" s="2" t="s">
        <v>73</v>
      </c>
      <c r="C47" s="28"/>
      <c r="D47" s="28">
        <f>C34-D34</f>
        <v>-720.85202400000162</v>
      </c>
      <c r="E47" s="28">
        <f t="shared" ref="E47:G47" si="24">D34-E34</f>
        <v>-905.68692144000124</v>
      </c>
      <c r="F47" s="28">
        <f t="shared" si="24"/>
        <v>-960.02813672640332</v>
      </c>
      <c r="G47" s="28">
        <f t="shared" si="24"/>
        <v>-1017.6298249299834</v>
      </c>
    </row>
    <row r="48" spans="2:18" x14ac:dyDescent="0.3">
      <c r="B48" s="2" t="s">
        <v>100</v>
      </c>
      <c r="C48" s="28"/>
      <c r="D48" s="28">
        <f>D26-C26</f>
        <v>319.83930000000146</v>
      </c>
      <c r="E48" s="28">
        <f t="shared" ref="E48:G48" si="25">E26-D26</f>
        <v>539.0993580000013</v>
      </c>
      <c r="F48" s="28">
        <f t="shared" si="25"/>
        <v>571.44531948000076</v>
      </c>
      <c r="G48" s="28">
        <f t="shared" si="25"/>
        <v>605.73203864880088</v>
      </c>
    </row>
    <row r="49" spans="2:12" x14ac:dyDescent="0.3">
      <c r="B49" s="2" t="s">
        <v>114</v>
      </c>
      <c r="C49" s="28"/>
      <c r="D49" s="28">
        <f>SUM(D45:D48)</f>
        <v>3588.3225252000007</v>
      </c>
      <c r="E49" s="28">
        <f t="shared" ref="E49:G49" si="26">SUM(E45:E48)</f>
        <v>3862.1078007120013</v>
      </c>
      <c r="F49" s="28">
        <f t="shared" si="26"/>
        <v>4093.8342687547201</v>
      </c>
      <c r="G49" s="28">
        <f t="shared" si="26"/>
        <v>4339.4643248800094</v>
      </c>
    </row>
    <row r="50" spans="2:12" x14ac:dyDescent="0.3">
      <c r="B50" s="2"/>
      <c r="C50" s="28"/>
      <c r="D50" s="28"/>
      <c r="E50" s="28"/>
      <c r="F50" s="28"/>
      <c r="G50" s="28"/>
    </row>
    <row r="51" spans="2:12" x14ac:dyDescent="0.3">
      <c r="B51" s="2" t="s">
        <v>110</v>
      </c>
      <c r="C51" s="28"/>
      <c r="D51" s="32">
        <f>O29</f>
        <v>-1078.1987160000001</v>
      </c>
      <c r="E51" s="32">
        <f t="shared" ref="E51:G51" si="27">P29</f>
        <v>-1142.8906389600002</v>
      </c>
      <c r="F51" s="32">
        <f t="shared" si="27"/>
        <v>-1211.4640772976004</v>
      </c>
      <c r="G51" s="32">
        <f t="shared" si="27"/>
        <v>-1284.1519219354564</v>
      </c>
      <c r="I51" s="28">
        <f>-O28</f>
        <v>-2156.3974320000002</v>
      </c>
      <c r="J51" s="28">
        <f>-P28</f>
        <v>-2285.7812779200003</v>
      </c>
      <c r="K51" s="28">
        <f>-Q28</f>
        <v>-2422.9281545952008</v>
      </c>
      <c r="L51" s="28">
        <f>-R28</f>
        <v>-2568.3038438709127</v>
      </c>
    </row>
    <row r="52" spans="2:12" x14ac:dyDescent="0.3">
      <c r="B52" s="2" t="s">
        <v>29</v>
      </c>
      <c r="C52" s="28"/>
      <c r="D52" s="28">
        <f>C33-D33</f>
        <v>-5386.2150000000001</v>
      </c>
      <c r="E52" s="28">
        <f t="shared" ref="E52:G52" si="28">D33-E33</f>
        <v>-11526.500100000001</v>
      </c>
      <c r="F52" s="28">
        <f t="shared" si="28"/>
        <v>-24666.710214000006</v>
      </c>
      <c r="G52" s="28">
        <f t="shared" si="28"/>
        <v>-52786.759857960016</v>
      </c>
    </row>
    <row r="53" spans="2:12" x14ac:dyDescent="0.3">
      <c r="B53" s="2" t="s">
        <v>102</v>
      </c>
      <c r="C53" s="28"/>
      <c r="D53" s="28">
        <f>C32-D32</f>
        <v>-1041.2266999999999</v>
      </c>
      <c r="E53" s="28">
        <f t="shared" ref="E53:G53" si="29">D32-E32</f>
        <v>-1905.4448609999999</v>
      </c>
      <c r="F53" s="28">
        <f t="shared" si="29"/>
        <v>-3486.96409563</v>
      </c>
      <c r="G53" s="28">
        <f t="shared" si="29"/>
        <v>-6381.1442950029013</v>
      </c>
    </row>
    <row r="54" spans="2:12" x14ac:dyDescent="0.3">
      <c r="B54" s="2" t="s">
        <v>115</v>
      </c>
      <c r="C54" s="28"/>
      <c r="D54" s="28">
        <f>SUM(D51:D53)</f>
        <v>-7505.6404160000002</v>
      </c>
      <c r="E54" s="28">
        <f t="shared" ref="E54:G54" si="30">SUM(E51:E53)</f>
        <v>-14574.835599960001</v>
      </c>
      <c r="F54" s="28">
        <f t="shared" si="30"/>
        <v>-29365.138386927607</v>
      </c>
      <c r="G54" s="28">
        <f t="shared" si="30"/>
        <v>-60452.056074898377</v>
      </c>
    </row>
    <row r="55" spans="2:12" x14ac:dyDescent="0.3">
      <c r="B55" s="2"/>
      <c r="C55" s="28"/>
      <c r="D55" s="28"/>
      <c r="E55" s="28"/>
      <c r="F55" s="28"/>
      <c r="G55" s="28"/>
    </row>
    <row r="56" spans="2:12" x14ac:dyDescent="0.3">
      <c r="B56" s="2" t="s">
        <v>99</v>
      </c>
      <c r="C56" s="28"/>
      <c r="D56" s="28">
        <f>D25-C25</f>
        <v>320.64059999999972</v>
      </c>
      <c r="E56" s="28">
        <f t="shared" ref="E56:G56" si="31">E25-D25</f>
        <v>365.53028399999948</v>
      </c>
      <c r="F56" s="28">
        <f t="shared" si="31"/>
        <v>416.70452375999957</v>
      </c>
      <c r="G56" s="28">
        <f t="shared" si="31"/>
        <v>475.04315708639933</v>
      </c>
    </row>
    <row r="57" spans="2:12" x14ac:dyDescent="0.3">
      <c r="B57" s="2" t="s">
        <v>104</v>
      </c>
      <c r="C57" s="28"/>
      <c r="D57" s="28">
        <f>O21</f>
        <v>-1994.6676246000004</v>
      </c>
      <c r="E57" s="28">
        <f t="shared" ref="E57:G57" si="32">P21</f>
        <v>-2114.3476820760006</v>
      </c>
      <c r="F57" s="28">
        <f t="shared" si="32"/>
        <v>-2241.2085430005613</v>
      </c>
      <c r="G57" s="28">
        <f t="shared" si="32"/>
        <v>-2375.681055580596</v>
      </c>
    </row>
    <row r="58" spans="2:12" x14ac:dyDescent="0.3">
      <c r="B58" s="2" t="s">
        <v>116</v>
      </c>
      <c r="C58" s="28"/>
      <c r="D58" s="28">
        <f>SUM(D56:D57)</f>
        <v>-1674.0270246000007</v>
      </c>
      <c r="E58" s="28">
        <f t="shared" ref="E58:G58" si="33">SUM(E56:E57)</f>
        <v>-1748.8173980760012</v>
      </c>
      <c r="F58" s="28">
        <f t="shared" si="33"/>
        <v>-1824.5040192405618</v>
      </c>
      <c r="G58" s="28">
        <f t="shared" si="33"/>
        <v>-1900.6378984941966</v>
      </c>
    </row>
    <row r="59" spans="2:12" x14ac:dyDescent="0.3">
      <c r="B59" s="2"/>
      <c r="C59" s="28"/>
      <c r="D59" s="28"/>
      <c r="E59" s="28"/>
      <c r="F59" s="28"/>
      <c r="G59" s="28"/>
    </row>
    <row r="60" spans="2:12" x14ac:dyDescent="0.3">
      <c r="B60" s="2" t="s">
        <v>117</v>
      </c>
      <c r="C60" s="28"/>
      <c r="D60" s="28">
        <f>SUM(D49,D54,D58)</f>
        <v>-5591.3449154</v>
      </c>
      <c r="E60" s="28">
        <f t="shared" ref="E60:G60" si="34">SUM(E49,E54,E58)</f>
        <v>-12461.545197324001</v>
      </c>
      <c r="F60" s="28">
        <f t="shared" si="34"/>
        <v>-27095.808137413449</v>
      </c>
      <c r="G60" s="28">
        <f t="shared" si="34"/>
        <v>-58013.22964851257</v>
      </c>
    </row>
    <row r="61" spans="2:12" x14ac:dyDescent="0.3">
      <c r="B61" s="2" t="s">
        <v>118</v>
      </c>
      <c r="C61" s="28"/>
      <c r="D61" s="28">
        <f>C62</f>
        <v>782</v>
      </c>
      <c r="E61" s="28">
        <f t="shared" ref="E61:G61" si="35">D62</f>
        <v>-4809.3449154</v>
      </c>
      <c r="F61" s="28">
        <f t="shared" si="35"/>
        <v>-17270.890112724002</v>
      </c>
      <c r="G61" s="28">
        <f t="shared" si="35"/>
        <v>-44366.698250137451</v>
      </c>
    </row>
    <row r="62" spans="2:12" x14ac:dyDescent="0.3">
      <c r="B62" s="2" t="s">
        <v>119</v>
      </c>
      <c r="C62" s="2">
        <v>782</v>
      </c>
      <c r="D62" s="32">
        <f>SUM(D60:D61)</f>
        <v>-4809.3449154</v>
      </c>
      <c r="E62" s="32">
        <f t="shared" ref="E62:G62" si="36">SUM(E60:E61)</f>
        <v>-17270.890112724002</v>
      </c>
      <c r="F62" s="32">
        <f t="shared" si="36"/>
        <v>-44366.698250137451</v>
      </c>
      <c r="G62" s="32">
        <f t="shared" si="36"/>
        <v>-102379.92789865003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6514-8A1A-453D-A007-A0EDF5E41B78}">
  <dimension ref="B3:R62"/>
  <sheetViews>
    <sheetView tabSelected="1" topLeftCell="A22" workbookViewId="0">
      <selection activeCell="J42" sqref="J42"/>
    </sheetView>
  </sheetViews>
  <sheetFormatPr defaultRowHeight="14.4" x14ac:dyDescent="0.3"/>
  <cols>
    <col min="2" max="2" width="21" bestFit="1" customWidth="1"/>
    <col min="3" max="3" width="7.109375" bestFit="1" customWidth="1"/>
    <col min="13" max="13" width="18" bestFit="1" customWidth="1"/>
  </cols>
  <sheetData>
    <row r="3" spans="2:14" x14ac:dyDescent="0.3">
      <c r="C3" s="29">
        <v>45747</v>
      </c>
      <c r="D3" s="29">
        <v>46112</v>
      </c>
      <c r="E3" s="29">
        <v>46477</v>
      </c>
      <c r="F3" s="29">
        <v>46843</v>
      </c>
      <c r="G3" s="29">
        <v>47208</v>
      </c>
      <c r="M3" s="2" t="s">
        <v>97</v>
      </c>
      <c r="N3" s="2">
        <v>0.06</v>
      </c>
    </row>
    <row r="4" spans="2:14" x14ac:dyDescent="0.3">
      <c r="M4" s="2" t="s">
        <v>98</v>
      </c>
      <c r="N4" s="2">
        <v>0.82</v>
      </c>
    </row>
    <row r="5" spans="2:14" x14ac:dyDescent="0.3">
      <c r="B5" s="2" t="s">
        <v>6</v>
      </c>
      <c r="C5" s="28">
        <v>33905.620000000003</v>
      </c>
      <c r="D5" s="28">
        <f>C5*1.06</f>
        <v>35939.957200000004</v>
      </c>
      <c r="E5" s="28">
        <f t="shared" ref="E5:G5" si="0">D5*1.06</f>
        <v>38096.35463200001</v>
      </c>
      <c r="F5" s="28">
        <f t="shared" si="0"/>
        <v>40382.135909920013</v>
      </c>
      <c r="G5" s="28">
        <f t="shared" si="0"/>
        <v>42805.064064515216</v>
      </c>
      <c r="M5" s="2" t="s">
        <v>10</v>
      </c>
      <c r="N5" s="2">
        <v>0.03</v>
      </c>
    </row>
    <row r="6" spans="2:14" x14ac:dyDescent="0.3">
      <c r="B6" s="2" t="s">
        <v>7</v>
      </c>
      <c r="C6" s="28">
        <v>27899.41</v>
      </c>
      <c r="D6" s="28">
        <f>-D5*0.82</f>
        <v>-29470.764904000003</v>
      </c>
      <c r="E6" s="28">
        <f t="shared" ref="E6:G6" si="1">-E5*0.82</f>
        <v>-31239.010798240008</v>
      </c>
      <c r="F6" s="28">
        <f t="shared" si="1"/>
        <v>-33113.351446134409</v>
      </c>
      <c r="G6" s="28">
        <f t="shared" si="1"/>
        <v>-35100.152532902473</v>
      </c>
      <c r="M6" s="2" t="s">
        <v>13</v>
      </c>
      <c r="N6" s="2">
        <v>0.26</v>
      </c>
    </row>
    <row r="7" spans="2:14" x14ac:dyDescent="0.3">
      <c r="B7" s="2" t="s">
        <v>8</v>
      </c>
      <c r="C7" s="28">
        <v>6006.2100000000028</v>
      </c>
      <c r="D7" s="28">
        <f>SUM(D5:D6)</f>
        <v>6469.1922960000011</v>
      </c>
      <c r="E7" s="28">
        <f t="shared" ref="E7:G7" si="2">SUM(E5:E6)</f>
        <v>6857.3438337600019</v>
      </c>
      <c r="F7" s="28">
        <f t="shared" si="2"/>
        <v>7268.7844637856033</v>
      </c>
      <c r="G7" s="28">
        <f t="shared" si="2"/>
        <v>7704.9115316127427</v>
      </c>
      <c r="M7" s="2"/>
      <c r="N7" s="2"/>
    </row>
    <row r="8" spans="2:14" x14ac:dyDescent="0.3">
      <c r="B8" s="2" t="s">
        <v>9</v>
      </c>
      <c r="C8" s="28">
        <v>350.22</v>
      </c>
      <c r="D8" s="28"/>
      <c r="E8" s="28"/>
      <c r="F8" s="28"/>
      <c r="G8" s="28"/>
      <c r="M8" s="2" t="s">
        <v>99</v>
      </c>
      <c r="N8" s="2">
        <v>0.14000000000000001</v>
      </c>
    </row>
    <row r="9" spans="2:14" x14ac:dyDescent="0.3">
      <c r="B9" s="2" t="s">
        <v>10</v>
      </c>
      <c r="C9" s="28">
        <v>1026.3399999999999</v>
      </c>
      <c r="D9" s="28">
        <f>-D5*0.03</f>
        <v>-1078.1987160000001</v>
      </c>
      <c r="E9" s="28">
        <f t="shared" ref="E9:G9" si="3">-E5*0.03</f>
        <v>-1142.8906389600002</v>
      </c>
      <c r="F9" s="28">
        <f t="shared" si="3"/>
        <v>-1211.4640772976004</v>
      </c>
      <c r="G9" s="28">
        <f t="shared" si="3"/>
        <v>-1284.1519219354564</v>
      </c>
      <c r="M9" s="2" t="s">
        <v>100</v>
      </c>
      <c r="N9" s="2">
        <v>0.25</v>
      </c>
    </row>
    <row r="10" spans="2:14" x14ac:dyDescent="0.3">
      <c r="B10" s="2" t="s">
        <v>11</v>
      </c>
      <c r="C10" s="28">
        <v>227.02</v>
      </c>
      <c r="D10" s="28"/>
      <c r="E10" s="28"/>
      <c r="F10" s="28"/>
      <c r="G10" s="28"/>
      <c r="M10" s="2" t="s">
        <v>101</v>
      </c>
      <c r="N10" s="2">
        <v>96</v>
      </c>
    </row>
    <row r="11" spans="2:14" x14ac:dyDescent="0.3">
      <c r="B11" s="2" t="s">
        <v>12</v>
      </c>
      <c r="C11" s="28">
        <v>5103.07</v>
      </c>
      <c r="D11" s="28">
        <f>SUM(D7:D10)</f>
        <v>5390.9935800000012</v>
      </c>
      <c r="E11" s="28">
        <f t="shared" ref="E11:G11" si="4">SUM(E7:E10)</f>
        <v>5714.4531948000022</v>
      </c>
      <c r="F11" s="28">
        <f t="shared" si="4"/>
        <v>6057.3203864880034</v>
      </c>
      <c r="G11" s="28">
        <f t="shared" si="4"/>
        <v>6420.7596096772868</v>
      </c>
      <c r="M11" s="2" t="s">
        <v>104</v>
      </c>
      <c r="N11" s="2"/>
    </row>
    <row r="12" spans="2:14" x14ac:dyDescent="0.3">
      <c r="B12" s="2" t="s">
        <v>13</v>
      </c>
      <c r="C12" s="28">
        <v>1393.36</v>
      </c>
      <c r="D12" s="28">
        <f>-D11*0.26</f>
        <v>-1401.6583308000004</v>
      </c>
      <c r="E12" s="28">
        <f>-E11*0.26</f>
        <v>-1485.7578306480007</v>
      </c>
      <c r="F12" s="28">
        <f>-F11*0.26</f>
        <v>-1574.9033004868809</v>
      </c>
      <c r="G12" s="28">
        <f>-G11*0.26</f>
        <v>-1669.3974985160946</v>
      </c>
      <c r="M12" s="2"/>
      <c r="N12" s="2"/>
    </row>
    <row r="13" spans="2:14" x14ac:dyDescent="0.3">
      <c r="B13" s="2" t="s">
        <v>14</v>
      </c>
      <c r="C13" s="28">
        <v>3667.23</v>
      </c>
      <c r="D13" s="28">
        <f>SUM(D11:D12)</f>
        <v>3989.3352492000008</v>
      </c>
      <c r="E13" s="28">
        <f>SUM(E11:E12)</f>
        <v>4228.6953641520013</v>
      </c>
      <c r="F13" s="28">
        <f>SUM(F11:F12)</f>
        <v>4482.4170860011227</v>
      </c>
      <c r="G13" s="28">
        <f>SUM(G11:G12)</f>
        <v>4751.3621111611919</v>
      </c>
      <c r="M13" s="2" t="s">
        <v>102</v>
      </c>
      <c r="N13" s="2">
        <v>0.83</v>
      </c>
    </row>
    <row r="14" spans="2:14" x14ac:dyDescent="0.3">
      <c r="M14" s="2" t="s">
        <v>29</v>
      </c>
      <c r="N14" s="2">
        <v>1.1399999999999999</v>
      </c>
    </row>
    <row r="15" spans="2:14" x14ac:dyDescent="0.3">
      <c r="M15" s="2" t="s">
        <v>103</v>
      </c>
      <c r="N15" s="2">
        <v>0.42</v>
      </c>
    </row>
    <row r="18" spans="2:18" x14ac:dyDescent="0.3">
      <c r="M18" s="2" t="s">
        <v>105</v>
      </c>
      <c r="N18" s="29">
        <v>45747</v>
      </c>
      <c r="O18" s="29">
        <v>46112</v>
      </c>
      <c r="P18" s="29">
        <v>46477</v>
      </c>
      <c r="Q18" s="29">
        <v>46843</v>
      </c>
      <c r="R18" s="29">
        <v>47208</v>
      </c>
    </row>
    <row r="19" spans="2:18" x14ac:dyDescent="0.3">
      <c r="M19" s="2" t="s">
        <v>106</v>
      </c>
      <c r="N19" s="28"/>
      <c r="O19" s="28">
        <f>N22</f>
        <v>19304</v>
      </c>
      <c r="P19" s="28">
        <f t="shared" ref="P19:R19" si="5">O22</f>
        <v>21298.667624600002</v>
      </c>
      <c r="Q19" s="28">
        <f t="shared" si="5"/>
        <v>23413.015306676003</v>
      </c>
      <c r="R19" s="28">
        <f t="shared" si="5"/>
        <v>25654.223849676564</v>
      </c>
    </row>
    <row r="20" spans="2:18" x14ac:dyDescent="0.3">
      <c r="C20" s="29">
        <v>45747</v>
      </c>
      <c r="D20" s="29">
        <v>46112</v>
      </c>
      <c r="E20" s="29">
        <v>46477</v>
      </c>
      <c r="F20" s="29">
        <v>46843</v>
      </c>
      <c r="G20" s="29">
        <v>47208</v>
      </c>
      <c r="M20" s="2" t="s">
        <v>107</v>
      </c>
      <c r="N20" s="28"/>
      <c r="O20" s="28">
        <f>D13</f>
        <v>3989.3352492000008</v>
      </c>
      <c r="P20" s="28">
        <f t="shared" ref="P20:R20" si="6">E13</f>
        <v>4228.6953641520013</v>
      </c>
      <c r="Q20" s="28">
        <f t="shared" si="6"/>
        <v>4482.4170860011227</v>
      </c>
      <c r="R20" s="28">
        <f t="shared" si="6"/>
        <v>4751.3621111611919</v>
      </c>
    </row>
    <row r="21" spans="2:18" x14ac:dyDescent="0.3">
      <c r="M21" s="2" t="s">
        <v>104</v>
      </c>
      <c r="N21" s="28"/>
      <c r="O21" s="28">
        <f>-O20*0.5</f>
        <v>-1994.6676246000004</v>
      </c>
      <c r="P21" s="28">
        <f t="shared" ref="P21:R21" si="7">-P20*0.5</f>
        <v>-2114.3476820760006</v>
      </c>
      <c r="Q21" s="28">
        <f t="shared" si="7"/>
        <v>-2241.2085430005613</v>
      </c>
      <c r="R21" s="28">
        <f t="shared" si="7"/>
        <v>-2375.681055580596</v>
      </c>
    </row>
    <row r="22" spans="2:18" x14ac:dyDescent="0.3">
      <c r="B22" s="2" t="s">
        <v>24</v>
      </c>
      <c r="C22" s="28">
        <v>95.92</v>
      </c>
      <c r="D22" s="28">
        <f>C22</f>
        <v>95.92</v>
      </c>
      <c r="E22" s="28">
        <f t="shared" ref="E22:G22" si="8">D22</f>
        <v>95.92</v>
      </c>
      <c r="F22" s="28">
        <f t="shared" si="8"/>
        <v>95.92</v>
      </c>
      <c r="G22" s="28">
        <f t="shared" si="8"/>
        <v>95.92</v>
      </c>
      <c r="M22" s="2" t="s">
        <v>108</v>
      </c>
      <c r="N22" s="28">
        <v>19304</v>
      </c>
      <c r="O22" s="28">
        <f>SUM(O19:O21)</f>
        <v>21298.667624600002</v>
      </c>
      <c r="P22" s="28">
        <f t="shared" ref="P22:R22" si="9">SUM(P19:P21)</f>
        <v>23413.015306676003</v>
      </c>
      <c r="Q22" s="28">
        <f t="shared" si="9"/>
        <v>25654.223849676564</v>
      </c>
      <c r="R22" s="28">
        <f t="shared" si="9"/>
        <v>28029.904905257161</v>
      </c>
    </row>
    <row r="23" spans="2:18" x14ac:dyDescent="0.3">
      <c r="B23" s="2" t="s">
        <v>121</v>
      </c>
      <c r="C23" s="28"/>
      <c r="D23" s="28"/>
      <c r="E23" s="28"/>
      <c r="F23" s="28"/>
      <c r="G23" s="28"/>
      <c r="M23" s="2"/>
      <c r="N23" s="28"/>
      <c r="O23" s="28"/>
      <c r="P23" s="28"/>
      <c r="Q23" s="28"/>
      <c r="R23" s="28"/>
    </row>
    <row r="24" spans="2:18" x14ac:dyDescent="0.3">
      <c r="B24" s="2" t="s">
        <v>25</v>
      </c>
      <c r="C24" s="28">
        <v>19303.89</v>
      </c>
      <c r="D24" s="28">
        <f>O22</f>
        <v>21298.667624600002</v>
      </c>
      <c r="E24" s="28">
        <f t="shared" ref="E24:G24" si="10">P22</f>
        <v>23413.015306676003</v>
      </c>
      <c r="F24" s="28">
        <f t="shared" si="10"/>
        <v>25654.223849676564</v>
      </c>
      <c r="G24" s="28">
        <f t="shared" si="10"/>
        <v>28029.904905257161</v>
      </c>
    </row>
    <row r="25" spans="2:18" x14ac:dyDescent="0.3">
      <c r="B25" s="2" t="s">
        <v>71</v>
      </c>
      <c r="C25" s="28">
        <v>2290.29</v>
      </c>
      <c r="D25" s="28">
        <f>C25*1.14</f>
        <v>2610.9305999999997</v>
      </c>
      <c r="E25" s="28">
        <f t="shared" ref="E25:G25" si="11">D25*1.14</f>
        <v>2976.4608839999992</v>
      </c>
      <c r="F25" s="28">
        <f t="shared" si="11"/>
        <v>3393.1654077599987</v>
      </c>
      <c r="G25" s="28">
        <f t="shared" si="11"/>
        <v>3868.2085648463981</v>
      </c>
    </row>
    <row r="26" spans="2:18" x14ac:dyDescent="0.3">
      <c r="B26" s="2" t="s">
        <v>72</v>
      </c>
      <c r="C26" s="28">
        <v>8665.15</v>
      </c>
      <c r="D26" s="28">
        <f>D5*0.25</f>
        <v>8984.9893000000011</v>
      </c>
      <c r="E26" s="28">
        <f t="shared" ref="E26:G26" si="12">E5*0.25</f>
        <v>9524.0886580000024</v>
      </c>
      <c r="F26" s="28">
        <f t="shared" si="12"/>
        <v>10095.533977480003</v>
      </c>
      <c r="G26" s="28">
        <f t="shared" si="12"/>
        <v>10701.266016128804</v>
      </c>
      <c r="M26" s="2" t="s">
        <v>27</v>
      </c>
      <c r="N26" s="29">
        <v>45747</v>
      </c>
      <c r="O26" s="29">
        <v>46112</v>
      </c>
      <c r="P26" s="29">
        <v>46477</v>
      </c>
      <c r="Q26" s="29">
        <v>46843</v>
      </c>
      <c r="R26" s="29">
        <v>47208</v>
      </c>
    </row>
    <row r="27" spans="2:18" x14ac:dyDescent="0.3">
      <c r="B27" s="2" t="s">
        <v>26</v>
      </c>
      <c r="C27" s="28">
        <f>SUM(C22:C26)</f>
        <v>30355.25</v>
      </c>
      <c r="D27" s="28">
        <f>SUM(D22:D26)</f>
        <v>32990.507524600005</v>
      </c>
      <c r="E27" s="28">
        <f t="shared" ref="E27:G27" si="13">SUM(E22:E26)</f>
        <v>36009.484848676002</v>
      </c>
      <c r="F27" s="28">
        <f t="shared" si="13"/>
        <v>39238.843234916567</v>
      </c>
      <c r="G27" s="28">
        <f t="shared" si="13"/>
        <v>42695.299486232361</v>
      </c>
      <c r="M27" s="2" t="s">
        <v>109</v>
      </c>
      <c r="N27" s="31"/>
      <c r="O27" s="31">
        <f>N30</f>
        <v>9220</v>
      </c>
      <c r="P27" s="31">
        <f t="shared" ref="P27:R27" si="14">O30</f>
        <v>10298.198715999999</v>
      </c>
      <c r="Q27" s="31">
        <f t="shared" si="14"/>
        <v>11441.089354959999</v>
      </c>
      <c r="R27" s="31">
        <f t="shared" si="14"/>
        <v>12652.5534322576</v>
      </c>
    </row>
    <row r="28" spans="2:18" x14ac:dyDescent="0.3">
      <c r="B28" s="2"/>
      <c r="C28" s="28"/>
      <c r="D28" s="28"/>
      <c r="E28" s="28"/>
      <c r="F28" s="28"/>
      <c r="G28" s="28"/>
      <c r="M28" s="2" t="s">
        <v>110</v>
      </c>
      <c r="N28" s="31"/>
      <c r="O28" s="31">
        <f>D5*0.06</f>
        <v>2156.3974320000002</v>
      </c>
      <c r="P28" s="31">
        <f t="shared" ref="P28:R28" si="15">E5*0.06</f>
        <v>2285.7812779200003</v>
      </c>
      <c r="Q28" s="31">
        <f t="shared" si="15"/>
        <v>2422.9281545952008</v>
      </c>
      <c r="R28" s="31">
        <f t="shared" si="15"/>
        <v>2568.3038438709127</v>
      </c>
    </row>
    <row r="29" spans="2:18" x14ac:dyDescent="0.3">
      <c r="B29" s="2"/>
      <c r="C29" s="28"/>
      <c r="D29" s="28"/>
      <c r="E29" s="28"/>
      <c r="F29" s="28"/>
      <c r="G29" s="28"/>
      <c r="M29" s="2" t="s">
        <v>10</v>
      </c>
      <c r="N29" s="31"/>
      <c r="O29" s="31">
        <f>D9</f>
        <v>-1078.1987160000001</v>
      </c>
      <c r="P29" s="31">
        <f>E9</f>
        <v>-1142.8906389600002</v>
      </c>
      <c r="Q29" s="31">
        <f>F9</f>
        <v>-1211.4640772976004</v>
      </c>
      <c r="R29" s="31">
        <f>G9</f>
        <v>-1284.1519219354564</v>
      </c>
    </row>
    <row r="30" spans="2:18" x14ac:dyDescent="0.3">
      <c r="B30" s="2" t="s">
        <v>93</v>
      </c>
      <c r="C30" s="28">
        <v>781.98</v>
      </c>
      <c r="D30" s="28"/>
      <c r="E30" s="28"/>
      <c r="F30" s="28"/>
      <c r="G30" s="28"/>
      <c r="M30" s="2" t="s">
        <v>111</v>
      </c>
      <c r="N30" s="31">
        <v>9220</v>
      </c>
      <c r="O30" s="31">
        <f>SUM(O27:O29)</f>
        <v>10298.198715999999</v>
      </c>
      <c r="P30" s="31">
        <f>SUM(P27:P29)</f>
        <v>11441.089354959999</v>
      </c>
      <c r="Q30" s="31">
        <f>SUM(Q27:Q29)</f>
        <v>12652.5534322576</v>
      </c>
      <c r="R30" s="31">
        <f>SUM(R27:R29)</f>
        <v>13936.705354193058</v>
      </c>
    </row>
    <row r="31" spans="2:18" x14ac:dyDescent="0.3">
      <c r="B31" s="2" t="s">
        <v>27</v>
      </c>
      <c r="C31" s="28">
        <v>9220.1</v>
      </c>
      <c r="D31" s="28">
        <f>O30</f>
        <v>10298.198715999999</v>
      </c>
      <c r="E31" s="28">
        <f t="shared" ref="E31:G31" si="16">P30</f>
        <v>11441.089354959999</v>
      </c>
      <c r="F31" s="28">
        <f t="shared" si="16"/>
        <v>12652.5534322576</v>
      </c>
      <c r="G31" s="28">
        <f t="shared" si="16"/>
        <v>13936.705354193058</v>
      </c>
    </row>
    <row r="32" spans="2:18" x14ac:dyDescent="0.3">
      <c r="B32" s="2" t="s">
        <v>28</v>
      </c>
      <c r="C32" s="28">
        <v>1254.49</v>
      </c>
      <c r="D32" s="28">
        <f>C32*1.83</f>
        <v>2295.7166999999999</v>
      </c>
      <c r="E32" s="28">
        <f t="shared" ref="E32:G32" si="17">D32*1.83</f>
        <v>4201.1615609999999</v>
      </c>
      <c r="F32" s="28">
        <f t="shared" si="17"/>
        <v>7688.1256566299999</v>
      </c>
      <c r="G32" s="28">
        <f t="shared" si="17"/>
        <v>14069.269951632901</v>
      </c>
    </row>
    <row r="33" spans="2:18" x14ac:dyDescent="0.3">
      <c r="B33" s="2" t="s">
        <v>29</v>
      </c>
      <c r="C33" s="28">
        <v>4724.75</v>
      </c>
      <c r="D33" s="28">
        <f>C33*2.14</f>
        <v>10110.965</v>
      </c>
      <c r="E33" s="28">
        <f t="shared" ref="E33:G33" si="18">D33*2.14</f>
        <v>21637.465100000001</v>
      </c>
      <c r="F33" s="28">
        <f t="shared" si="18"/>
        <v>46304.175314000007</v>
      </c>
      <c r="G33" s="28">
        <f t="shared" si="18"/>
        <v>99090.935171960024</v>
      </c>
    </row>
    <row r="34" spans="2:18" x14ac:dyDescent="0.3">
      <c r="B34" s="2" t="s">
        <v>73</v>
      </c>
      <c r="C34" s="28">
        <v>14373.93</v>
      </c>
      <c r="D34" s="28">
        <f>D5*0.42</f>
        <v>15094.782024000002</v>
      </c>
      <c r="E34" s="28">
        <f t="shared" ref="E34:G34" si="19">E5*0.42</f>
        <v>16000.468945440003</v>
      </c>
      <c r="F34" s="28">
        <f t="shared" si="19"/>
        <v>16960.497082166406</v>
      </c>
      <c r="G34" s="28">
        <f t="shared" si="19"/>
        <v>17978.12690709639</v>
      </c>
      <c r="O34" s="26">
        <f>SUM(O28:O29)</f>
        <v>1078.1987160000001</v>
      </c>
      <c r="P34" s="26">
        <f t="shared" ref="P34:R34" si="20">SUM(P28:P29)</f>
        <v>1142.8906389600002</v>
      </c>
      <c r="Q34" s="26">
        <f t="shared" si="20"/>
        <v>1211.4640772976004</v>
      </c>
      <c r="R34" s="26">
        <f t="shared" si="20"/>
        <v>1284.1519219354564</v>
      </c>
    </row>
    <row r="35" spans="2:18" x14ac:dyDescent="0.3">
      <c r="B35" s="2" t="s">
        <v>26</v>
      </c>
      <c r="C35" s="28">
        <f>SUM(C30:C34)</f>
        <v>30355.25</v>
      </c>
      <c r="D35" s="28">
        <f>SUM(D30:D34)</f>
        <v>37799.66244</v>
      </c>
      <c r="E35" s="28">
        <f t="shared" ref="E35:G35" si="21">SUM(E30:E34)</f>
        <v>53280.184961400009</v>
      </c>
      <c r="F35" s="28">
        <f t="shared" si="21"/>
        <v>83605.351485054009</v>
      </c>
      <c r="G35" s="28">
        <f t="shared" si="21"/>
        <v>145075.03738488237</v>
      </c>
    </row>
    <row r="36" spans="2:18" x14ac:dyDescent="0.3">
      <c r="B36" s="2"/>
      <c r="C36" s="28"/>
      <c r="D36" s="28"/>
      <c r="E36" s="28"/>
      <c r="F36" s="28"/>
      <c r="G36" s="28"/>
    </row>
    <row r="37" spans="2:18" x14ac:dyDescent="0.3">
      <c r="B37" s="2"/>
      <c r="C37" s="28"/>
      <c r="D37" s="28"/>
      <c r="E37" s="28"/>
      <c r="F37" s="28"/>
      <c r="G37" s="28"/>
    </row>
    <row r="38" spans="2:18" x14ac:dyDescent="0.3">
      <c r="B38" s="2" t="s">
        <v>95</v>
      </c>
      <c r="C38" s="28">
        <f>C27-C35</f>
        <v>0</v>
      </c>
      <c r="D38" s="28">
        <f t="shared" ref="D38:G38" si="22">D27-D35</f>
        <v>-4809.1549153999949</v>
      </c>
      <c r="E38" s="28">
        <f t="shared" si="22"/>
        <v>-17270.700112724007</v>
      </c>
      <c r="F38" s="28">
        <f t="shared" si="22"/>
        <v>-44366.508250137442</v>
      </c>
      <c r="G38" s="28">
        <f t="shared" si="22"/>
        <v>-102379.73789865</v>
      </c>
    </row>
    <row r="41" spans="2:18" x14ac:dyDescent="0.3">
      <c r="J41" t="s">
        <v>122</v>
      </c>
    </row>
    <row r="42" spans="2:18" x14ac:dyDescent="0.3">
      <c r="C42" s="29">
        <v>45747</v>
      </c>
      <c r="D42" s="29">
        <v>46112</v>
      </c>
      <c r="E42" s="29">
        <v>46477</v>
      </c>
      <c r="F42" s="29">
        <v>46843</v>
      </c>
      <c r="G42" s="29">
        <v>47208</v>
      </c>
    </row>
    <row r="44" spans="2:18" x14ac:dyDescent="0.3">
      <c r="B44" s="2" t="s">
        <v>113</v>
      </c>
      <c r="C44" s="28"/>
      <c r="D44" s="28"/>
      <c r="E44" s="28"/>
      <c r="F44" s="28"/>
      <c r="G44" s="28"/>
    </row>
    <row r="45" spans="2:18" x14ac:dyDescent="0.3">
      <c r="B45" s="2" t="s">
        <v>120</v>
      </c>
      <c r="C45" s="28"/>
      <c r="D45" s="28">
        <f>D13</f>
        <v>3989.3352492000008</v>
      </c>
      <c r="E45" s="28">
        <f t="shared" ref="E45:G45" si="23">E13</f>
        <v>4228.6953641520013</v>
      </c>
      <c r="F45" s="28">
        <f t="shared" si="23"/>
        <v>4482.4170860011227</v>
      </c>
      <c r="G45" s="28">
        <f t="shared" si="23"/>
        <v>4751.3621111611919</v>
      </c>
    </row>
    <row r="46" spans="2:18" x14ac:dyDescent="0.3">
      <c r="B46" s="2" t="s">
        <v>10</v>
      </c>
      <c r="C46" s="28"/>
      <c r="J46" s="28">
        <f>-D9</f>
        <v>1078.1987160000001</v>
      </c>
      <c r="K46" s="28">
        <f>-E9</f>
        <v>1142.8906389600002</v>
      </c>
      <c r="L46" s="28">
        <f>-F9</f>
        <v>1211.4640772976004</v>
      </c>
      <c r="M46" s="28">
        <f>-G9</f>
        <v>1284.1519219354564</v>
      </c>
    </row>
    <row r="47" spans="2:18" x14ac:dyDescent="0.3">
      <c r="B47" s="2" t="s">
        <v>73</v>
      </c>
      <c r="C47" s="28"/>
      <c r="D47" s="28">
        <f>C34-D34</f>
        <v>-720.85202400000162</v>
      </c>
      <c r="E47" s="28">
        <f t="shared" ref="E47:G47" si="24">D34-E34</f>
        <v>-905.68692144000124</v>
      </c>
      <c r="F47" s="28">
        <f t="shared" si="24"/>
        <v>-960.02813672640332</v>
      </c>
      <c r="G47" s="28">
        <f t="shared" si="24"/>
        <v>-1017.6298249299834</v>
      </c>
    </row>
    <row r="48" spans="2:18" x14ac:dyDescent="0.3">
      <c r="B48" s="2" t="s">
        <v>100</v>
      </c>
      <c r="C48" s="28"/>
      <c r="D48" s="28">
        <f>D26-C26</f>
        <v>319.83930000000146</v>
      </c>
      <c r="E48" s="28">
        <f t="shared" ref="E48:G48" si="25">E26-D26</f>
        <v>539.0993580000013</v>
      </c>
      <c r="F48" s="28">
        <f t="shared" si="25"/>
        <v>571.44531948000076</v>
      </c>
      <c r="G48" s="28">
        <f t="shared" si="25"/>
        <v>605.73203864880088</v>
      </c>
    </row>
    <row r="49" spans="2:12" x14ac:dyDescent="0.3">
      <c r="B49" s="2" t="s">
        <v>114</v>
      </c>
      <c r="C49" s="28"/>
      <c r="D49" s="28">
        <f>SUM(D45:D48)</f>
        <v>3588.3225252000007</v>
      </c>
      <c r="E49" s="28">
        <f t="shared" ref="E49:G49" si="26">SUM(E45:E48)</f>
        <v>3862.1078007120013</v>
      </c>
      <c r="F49" s="28">
        <f t="shared" si="26"/>
        <v>4093.8342687547201</v>
      </c>
      <c r="G49" s="28">
        <f t="shared" si="26"/>
        <v>4339.4643248800094</v>
      </c>
    </row>
    <row r="50" spans="2:12" x14ac:dyDescent="0.3">
      <c r="B50" s="2"/>
      <c r="C50" s="28"/>
      <c r="D50" s="28"/>
      <c r="E50" s="28"/>
      <c r="F50" s="28"/>
      <c r="G50" s="28"/>
    </row>
    <row r="51" spans="2:12" x14ac:dyDescent="0.3">
      <c r="B51" s="2" t="s">
        <v>110</v>
      </c>
      <c r="C51" s="28"/>
      <c r="D51" s="32">
        <f>O29</f>
        <v>-1078.1987160000001</v>
      </c>
      <c r="E51" s="32">
        <f t="shared" ref="E51:G51" si="27">P29</f>
        <v>-1142.8906389600002</v>
      </c>
      <c r="F51" s="32">
        <f t="shared" si="27"/>
        <v>-1211.4640772976004</v>
      </c>
      <c r="G51" s="32">
        <f t="shared" si="27"/>
        <v>-1284.1519219354564</v>
      </c>
      <c r="I51" s="28">
        <f>-O28</f>
        <v>-2156.3974320000002</v>
      </c>
      <c r="J51" s="28">
        <f>-P28</f>
        <v>-2285.7812779200003</v>
      </c>
      <c r="K51" s="28">
        <f>-Q28</f>
        <v>-2422.9281545952008</v>
      </c>
      <c r="L51" s="28">
        <f>-R28</f>
        <v>-2568.3038438709127</v>
      </c>
    </row>
    <row r="52" spans="2:12" x14ac:dyDescent="0.3">
      <c r="B52" s="2" t="s">
        <v>29</v>
      </c>
      <c r="C52" s="28"/>
      <c r="D52" s="28">
        <f>C33-D33</f>
        <v>-5386.2150000000001</v>
      </c>
      <c r="E52" s="28">
        <f t="shared" ref="E52:G52" si="28">D33-E33</f>
        <v>-11526.500100000001</v>
      </c>
      <c r="F52" s="28">
        <f t="shared" si="28"/>
        <v>-24666.710214000006</v>
      </c>
      <c r="G52" s="28">
        <f t="shared" si="28"/>
        <v>-52786.759857960016</v>
      </c>
    </row>
    <row r="53" spans="2:12" x14ac:dyDescent="0.3">
      <c r="B53" s="2" t="s">
        <v>102</v>
      </c>
      <c r="C53" s="28"/>
      <c r="D53" s="28">
        <f>C32-D32</f>
        <v>-1041.2266999999999</v>
      </c>
      <c r="E53" s="28">
        <f t="shared" ref="E53:G53" si="29">D32-E32</f>
        <v>-1905.4448609999999</v>
      </c>
      <c r="F53" s="28">
        <f t="shared" si="29"/>
        <v>-3486.96409563</v>
      </c>
      <c r="G53" s="28">
        <f t="shared" si="29"/>
        <v>-6381.1442950029013</v>
      </c>
    </row>
    <row r="54" spans="2:12" x14ac:dyDescent="0.3">
      <c r="B54" s="2" t="s">
        <v>115</v>
      </c>
      <c r="C54" s="28"/>
      <c r="D54" s="28">
        <f>SUM(D51:D53)</f>
        <v>-7505.6404160000002</v>
      </c>
      <c r="E54" s="28">
        <f t="shared" ref="E54:G54" si="30">SUM(E51:E53)</f>
        <v>-14574.835599960001</v>
      </c>
      <c r="F54" s="28">
        <f t="shared" si="30"/>
        <v>-29365.138386927607</v>
      </c>
      <c r="G54" s="28">
        <f t="shared" si="30"/>
        <v>-60452.056074898377</v>
      </c>
    </row>
    <row r="55" spans="2:12" x14ac:dyDescent="0.3">
      <c r="B55" s="2"/>
      <c r="C55" s="28"/>
      <c r="D55" s="28"/>
      <c r="E55" s="28"/>
      <c r="F55" s="28"/>
      <c r="G55" s="28"/>
    </row>
    <row r="56" spans="2:12" x14ac:dyDescent="0.3">
      <c r="B56" s="2" t="s">
        <v>99</v>
      </c>
      <c r="C56" s="28"/>
      <c r="D56" s="28">
        <f>D25-C25</f>
        <v>320.64059999999972</v>
      </c>
      <c r="E56" s="28">
        <f t="shared" ref="E56:G56" si="31">E25-D25</f>
        <v>365.53028399999948</v>
      </c>
      <c r="F56" s="28">
        <f t="shared" si="31"/>
        <v>416.70452375999957</v>
      </c>
      <c r="G56" s="28">
        <f t="shared" si="31"/>
        <v>475.04315708639933</v>
      </c>
    </row>
    <row r="57" spans="2:12" x14ac:dyDescent="0.3">
      <c r="B57" s="2" t="s">
        <v>104</v>
      </c>
      <c r="C57" s="28"/>
      <c r="D57" s="28">
        <f>O21</f>
        <v>-1994.6676246000004</v>
      </c>
      <c r="E57" s="28">
        <f t="shared" ref="E57:G57" si="32">P21</f>
        <v>-2114.3476820760006</v>
      </c>
      <c r="F57" s="28">
        <f t="shared" si="32"/>
        <v>-2241.2085430005613</v>
      </c>
      <c r="G57" s="28">
        <f t="shared" si="32"/>
        <v>-2375.681055580596</v>
      </c>
    </row>
    <row r="58" spans="2:12" x14ac:dyDescent="0.3">
      <c r="B58" s="2" t="s">
        <v>116</v>
      </c>
      <c r="C58" s="28"/>
      <c r="D58" s="28">
        <f>SUM(D56:D57)</f>
        <v>-1674.0270246000007</v>
      </c>
      <c r="E58" s="28">
        <f t="shared" ref="E58:G58" si="33">SUM(E56:E57)</f>
        <v>-1748.8173980760012</v>
      </c>
      <c r="F58" s="28">
        <f t="shared" si="33"/>
        <v>-1824.5040192405618</v>
      </c>
      <c r="G58" s="28">
        <f t="shared" si="33"/>
        <v>-1900.6378984941966</v>
      </c>
    </row>
    <row r="59" spans="2:12" x14ac:dyDescent="0.3">
      <c r="B59" s="2"/>
      <c r="C59" s="28"/>
      <c r="D59" s="28"/>
      <c r="E59" s="28"/>
      <c r="F59" s="28"/>
      <c r="G59" s="28"/>
    </row>
    <row r="60" spans="2:12" x14ac:dyDescent="0.3">
      <c r="B60" s="2" t="s">
        <v>117</v>
      </c>
      <c r="C60" s="28"/>
      <c r="D60" s="28">
        <f>SUM(D49,D54,D58)</f>
        <v>-5591.3449154</v>
      </c>
      <c r="E60" s="28">
        <f t="shared" ref="E60:G60" si="34">SUM(E49,E54,E58)</f>
        <v>-12461.545197324001</v>
      </c>
      <c r="F60" s="28">
        <f t="shared" si="34"/>
        <v>-27095.808137413449</v>
      </c>
      <c r="G60" s="28">
        <f t="shared" si="34"/>
        <v>-58013.22964851257</v>
      </c>
    </row>
    <row r="61" spans="2:12" x14ac:dyDescent="0.3">
      <c r="B61" s="2" t="s">
        <v>118</v>
      </c>
      <c r="C61" s="28"/>
      <c r="D61" s="28">
        <f>C62</f>
        <v>782</v>
      </c>
      <c r="E61" s="28">
        <f t="shared" ref="E61:G61" si="35">D62</f>
        <v>-4809.3449154</v>
      </c>
      <c r="F61" s="28">
        <f t="shared" si="35"/>
        <v>-17270.890112724002</v>
      </c>
      <c r="G61" s="28">
        <f t="shared" si="35"/>
        <v>-44366.698250137451</v>
      </c>
    </row>
    <row r="62" spans="2:12" x14ac:dyDescent="0.3">
      <c r="B62" s="2" t="s">
        <v>119</v>
      </c>
      <c r="C62" s="2">
        <v>782</v>
      </c>
      <c r="D62" s="32">
        <f>SUM(D60:D61)</f>
        <v>-4809.3449154</v>
      </c>
      <c r="E62" s="32">
        <f t="shared" ref="E62:G62" si="36">SUM(E60:E61)</f>
        <v>-17270.890112724002</v>
      </c>
      <c r="F62" s="32">
        <f t="shared" si="36"/>
        <v>-44366.698250137451</v>
      </c>
      <c r="G62" s="32">
        <f t="shared" si="36"/>
        <v>-102379.92789865003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Profit &amp; Loss</vt:lpstr>
      <vt:lpstr>Quarters</vt:lpstr>
      <vt:lpstr>Balance Sheet</vt:lpstr>
      <vt:lpstr>Cash Flow</vt:lpstr>
      <vt:lpstr>Customization</vt:lpstr>
      <vt:lpstr>Data Sheet</vt:lpstr>
      <vt:lpstr>Assumption_A.p.</vt:lpstr>
      <vt:lpstr>Three_ Statement_Models (2)</vt:lpstr>
      <vt:lpstr>Three_ Statement_Models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salman khan</cp:lastModifiedBy>
  <cp:lastPrinted>2012-12-06T18:14:13Z</cp:lastPrinted>
  <dcterms:created xsi:type="dcterms:W3CDTF">2012-08-17T09:55:37Z</dcterms:created>
  <dcterms:modified xsi:type="dcterms:W3CDTF">2026-06-18T14:25:51Z</dcterms:modified>
</cp:coreProperties>
</file>